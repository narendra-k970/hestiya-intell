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 Me" sheetId="1" r:id="rId5"/>
    <sheet state="visible" name="Data Dictionary" sheetId="2" r:id="rId6"/>
    <sheet state="visible" name="Supplier Master (India)" sheetId="3" r:id="rId7"/>
    <sheet state="visible" name="Factories - Raw (H&amp;M Source)" sheetId="4" r:id="rId8"/>
    <sheet state="visible" name="Progress Tracker" sheetId="5" r:id="rId9"/>
    <sheet state="visible" name="Change Log" sheetId="6" r:id="rId10"/>
    <sheet state="visible" name="QA Review Register" sheetId="7" r:id="rId11"/>
  </sheets>
  <definedNames>
    <definedName hidden="1" localSheetId="2" name="_xlnm._FilterDatabase">'Supplier Master (India)'!$A$1:$AU$108</definedName>
  </definedNames>
  <calcPr/>
</workbook>
</file>

<file path=xl/sharedStrings.xml><?xml version="1.0" encoding="utf-8"?>
<sst xmlns="http://schemas.openxmlformats.org/spreadsheetml/2006/main" count="9180" uniqueCount="2215">
  <si>
    <t>Tier</t>
  </si>
  <si>
    <t>Column (Supplier Master)</t>
  </si>
  <si>
    <t>Hestiya x H&amp;M India — Supplier Carbon &amp; ESG Data Pack</t>
  </si>
  <si>
    <t>Hestiya Company ID</t>
  </si>
  <si>
    <t>Factory Name</t>
  </si>
  <si>
    <t>Definition</t>
  </si>
  <si>
    <t>Format / Unit</t>
  </si>
  <si>
    <t>Example</t>
  </si>
  <si>
    <t>How to source it</t>
  </si>
  <si>
    <t>Required for Go-Live (Tier 1)?</t>
  </si>
  <si>
    <t>Name Variants Found</t>
  </si>
  <si>
    <t>Already in Hestiya Dashboard?</t>
  </si>
  <si>
    <t>Num Factories Supplying H&amp;M (India)</t>
  </si>
  <si>
    <t>Est. Total Workers (H&amp;M factories)</t>
  </si>
  <si>
    <t>Avg Female Worker % (H&amp;M factories)</t>
  </si>
  <si>
    <t>Country</t>
  </si>
  <si>
    <t>Longest H&amp;M Relationship</t>
  </si>
  <si>
    <t>Certifications Reported to H&amp;M</t>
  </si>
  <si>
    <t>Factory Types</t>
  </si>
  <si>
    <t>Product Types</t>
  </si>
  <si>
    <t>Any Trade Union Reported</t>
  </si>
  <si>
    <t>HQ City</t>
  </si>
  <si>
    <t>Factory Address</t>
  </si>
  <si>
    <t>HQ State</t>
  </si>
  <si>
    <t>Supplier Name</t>
  </si>
  <si>
    <t>Latitude</t>
  </si>
  <si>
    <t>Longitude</t>
  </si>
  <si>
    <t>Relation with Factory</t>
  </si>
  <si>
    <t>Year Established</t>
  </si>
  <si>
    <t>1 = top 30 suppliers by H&amp;M workforce/relationship, deep-researched for the showcase. 2 = remaining suppliers, directory-level for now.</t>
  </si>
  <si>
    <t>Ownership Type</t>
  </si>
  <si>
    <t>Number (1/2)</t>
  </si>
  <si>
    <t>No of Years With H&amp;M</t>
  </si>
  <si>
    <t>Total Employees</t>
  </si>
  <si>
    <t>1</t>
  </si>
  <si>
    <t>Scope 1 (tCO2e)</t>
  </si>
  <si>
    <t>Scope 2 (tCO2e)</t>
  </si>
  <si>
    <t>Factory Type</t>
  </si>
  <si>
    <t>Scope 1+2 (tCO2e)</t>
  </si>
  <si>
    <t>Renewable Energy %</t>
  </si>
  <si>
    <t>Pre-assigned by workforce size; do not change without sign-off.</t>
  </si>
  <si>
    <t>Product Type</t>
  </si>
  <si>
    <t>Total Energy (TJ)</t>
  </si>
  <si>
    <t>Solar Capacity (MWp)</t>
  </si>
  <si>
    <t>Material Certifications</t>
  </si>
  <si>
    <t>Total Water (KL)</t>
  </si>
  <si>
    <t>Purpose</t>
  </si>
  <si>
    <t>Total Waste (MT)</t>
  </si>
  <si>
    <t>Number Of Workers</t>
  </si>
  <si>
    <t>N/A</t>
  </si>
  <si>
    <t>Energy Carbon Intensity (tCO2e/TJ)</t>
  </si>
  <si>
    <t>ESG Score</t>
  </si>
  <si>
    <t>Female Worker %</t>
  </si>
  <si>
    <t>SBTi Status</t>
  </si>
  <si>
    <t>Trade Unions Exists</t>
  </si>
  <si>
    <t>RE100 Member</t>
  </si>
  <si>
    <t>CDP Score</t>
  </si>
  <si>
    <t>Maps to Supplier Master Row (cleaned name)</t>
  </si>
  <si>
    <t>ISO14001 (Y/N)</t>
  </si>
  <si>
    <t>GOTS (Y/N)</t>
  </si>
  <si>
    <t>Renewable Energy Target</t>
  </si>
  <si>
    <t>Coal Phase-Out Status</t>
  </si>
  <si>
    <t>URL-safe slug used by the platform (matches the current data.js keys where a company already exists).</t>
  </si>
  <si>
    <t>Major Buyers</t>
  </si>
  <si>
    <t>Text (kebab-case)</t>
  </si>
  <si>
    <t>Primary Raw Material</t>
  </si>
  <si>
    <t>shahi-exports</t>
  </si>
  <si>
    <t>This workbook is the working data pack for Phase 1 of the Company Profiling Dashboard rollout: building verified carbon &amp; ESG profiles for H&amp;M Group's India supplier base, ahead of a showcase to the H&amp;M Sustainability Head. It is meant to be edited directly by the data research team and read directly by engineering when building the platform backend.</t>
  </si>
  <si>
    <t>Fabric Sourcing Geography</t>
  </si>
  <si>
    <t>Generate from company name; keep matching slug if company already exists on the dashboard.</t>
  </si>
  <si>
    <t>Data Source(s) / Citation</t>
  </si>
  <si>
    <t>Reporting FY</t>
  </si>
  <si>
    <t>Yes</t>
  </si>
  <si>
    <t>Last Verified Date</t>
  </si>
  <si>
    <t>Data Status</t>
  </si>
  <si>
    <t>Assigned To</t>
  </si>
  <si>
    <t>Notes</t>
  </si>
  <si>
    <t>Notes 2
ESG Score Reference</t>
  </si>
  <si>
    <t>India</t>
  </si>
  <si>
    <t>Supplier / Company Name</t>
  </si>
  <si>
    <t>AHP APPAREL PVT LTD UNIT 60</t>
  </si>
  <si>
    <t>Primary legal/trading name, cleaned of duplicate spellings found across H&amp;M's list.</t>
  </si>
  <si>
    <t>Text</t>
  </si>
  <si>
    <t>Shahi Exports</t>
  </si>
  <si>
    <t>From H&amp;M Supplier List, de-duplicated.</t>
  </si>
  <si>
    <t>Agpl Rotary Printing</t>
  </si>
  <si>
    <t>Holenarasipura Main Road, Hassan</t>
  </si>
  <si>
    <t>SHAHI EXPORTS PRIVATE LIMITED</t>
  </si>
  <si>
    <t>No</t>
  </si>
  <si>
    <t>Owned By</t>
  </si>
  <si>
    <t>What is pre-filled vs. what needs research</t>
  </si>
  <si>
    <t>3-6 Years</t>
  </si>
  <si>
    <t>6-10 Years</t>
  </si>
  <si>
    <t>Manufacturing unit, Processing unit</t>
  </si>
  <si>
    <t>Component unit</t>
  </si>
  <si>
    <t>No / Not Reported</t>
  </si>
  <si>
    <t>Jersey</t>
  </si>
  <si>
    <t>Tirupur</t>
  </si>
  <si>
    <t>2001-4000 Workers</t>
  </si>
  <si>
    <t>Alternate spellings/legal suffixes seen for the same supplier in H&amp;M's raw list — flag if these are genuinely the same entity or not.</t>
  </si>
  <si>
    <t>Tamil Nadu</t>
  </si>
  <si>
    <t>SHAHI EXPORT PVT.LTD; SHAHI EXPORTS PRIVATE LIMITED</t>
  </si>
  <si>
    <t>Already extracted; confirm with company website / MCA filing if unsure.</t>
  </si>
  <si>
    <t>Columns A-M on the "Supplier Master (India)" tab come straight from H&amp;M Group's public Supplier List (hmgroup.com/sustainability, May 2026 edition) — factory counts, workforce bands, certifications reported to H&amp;M, product types. These are already correct and do not need re-research.</t>
  </si>
  <si>
    <t>Private Ltd</t>
  </si>
  <si>
    <t>Not Disclosed</t>
  </si>
  <si>
    <t>No Target</t>
  </si>
  <si>
    <t>Whether this company already has a live profile on the platform.</t>
  </si>
  <si>
    <t>Slug or blank</t>
  </si>
  <si>
    <t>Cross-checked automatically against current data.js.</t>
  </si>
  <si>
    <t>Columns N onward (shaded yellow in the header) are the fields the research team needs to fill in, sourced from BRSR filings, sustainability/ESG reports, CDP disclosures, GOTS/ISO certification databases, and — where nothing is public — direct outreach to the supplier.</t>
  </si>
  <si>
    <t>Count of distinct India factories under this supplier in H&amp;M's list.</t>
  </si>
  <si>
    <t>Integer</t>
  </si>
  <si>
    <t>22</t>
  </si>
  <si>
    <t>Count from H&amp;M's Supplier List.</t>
  </si>
  <si>
    <t>8 companies are already shaded green and marked "Live" — they are already fully researched and shipped in the current Hestiya dashboard (Shahi Exports, Vardhman Textiles, Arvind Limited, Vamani Overseas, Grasim Industries, K.P.R. Mill, Indo Count, Jindal Worldwide). Use these rows as the worked example of the expected depth, format and tone for every other row.</t>
  </si>
  <si>
    <t>AHP GARMENTS PVT. LTD., UNIT-54</t>
  </si>
  <si>
    <t>Plot No.1D, Rayapur Industrial Area, Rayapur, Village, Dharwad, DHARWAD</t>
  </si>
  <si>
    <t>Woven</t>
  </si>
  <si>
    <t>Sum of the midpoint of each factory's worker-count band, H&amp;M-linked factories only — NOT the company's total headcount.</t>
  </si>
  <si>
    <t>Integer (estimate)</t>
  </si>
  <si>
    <t>43,000</t>
  </si>
  <si>
    <t>Derived from H&amp;M's worker-count bands.</t>
  </si>
  <si>
    <t>Colour legend</t>
  </si>
  <si>
    <t>ATM EXPORTS PRIVATE LIMITED</t>
  </si>
  <si>
    <t>Plot No. 1, Gurukul Industrial Area, FARIDABAD</t>
  </si>
  <si>
    <t>SHAHI EXPORT PVT.LTD</t>
  </si>
  <si>
    <t>Contractual</t>
  </si>
  <si>
    <t>&gt;10 Years</t>
  </si>
  <si>
    <t>Average reported female worker share across this supplier's H&amp;M factories.</t>
  </si>
  <si>
    <t>Processing unit</t>
  </si>
  <si>
    <t>Percent</t>
  </si>
  <si>
    <t>68.4%</t>
  </si>
  <si>
    <t>From H&amp;M's Supplier List.</t>
  </si>
  <si>
    <t>1-500 Workers</t>
  </si>
  <si>
    <t>Data Not Available</t>
  </si>
  <si>
    <t xml:space="preserve">  Green fill (darker) — Live: verified AND rendering on the Hestiya dashboard.</t>
  </si>
  <si>
    <t>Print Houses</t>
  </si>
  <si>
    <t>GOTS organic cotton fabrics</t>
  </si>
  <si>
    <t>Tirupur, Tamil Nadu</t>
  </si>
  <si>
    <t>https://www.agplindia.in/
CARE Ratings, AGPL PDF</t>
  </si>
  <si>
    <t>Longest tenure band reported among this supplier's factories.</t>
  </si>
  <si>
    <t>Text band</t>
  </si>
  <si>
    <t>RCJC GARMENT PROCESSING UNIT</t>
  </si>
  <si>
    <t>BEHRAMPUR ROAD, DELHI JAIPUR HIGHWAY, NEAR HERO HONDA CHOWK, Gurgaon</t>
  </si>
  <si>
    <t>&lt;3 Years</t>
  </si>
  <si>
    <t xml:space="preserve">  Yellow header — column the research team must complete.</t>
  </si>
  <si>
    <t>Material certifications self-reported by the factories to H&amp;M (GOTS, GRS, OCS, RCS, RWS etc.) — cross-check against your own ISO14001/GOTS columns.</t>
  </si>
  <si>
    <t>Text list</t>
  </si>
  <si>
    <t>GOTS, GRS</t>
  </si>
  <si>
    <t>SHAHI (UNIT-A-7/3, HYDERABAD)</t>
  </si>
  <si>
    <t>PLOT NO.A-7/3, ROAD NO.12,, MINI APPAREL PARK,, NACHARAM, Telangana, Hyderabad</t>
  </si>
  <si>
    <t>Owned By (inhouse)</t>
  </si>
  <si>
    <t xml:space="preserve">  White — reference data pulled from H&amp;M's public disclosure, not to be edited.</t>
  </si>
  <si>
    <t>Manufacturing / processing / component unit classification from H&amp;M.</t>
  </si>
  <si>
    <t>1001-2000 Workers</t>
  </si>
  <si>
    <t>Manufacturing unit</t>
  </si>
  <si>
    <t>SHAHI EXPORTS (UNIT 28)</t>
  </si>
  <si>
    <t xml:space="preserve">  Green fill (lighter) — Verified: checked against primary sources, cleared to publish, not yet ingested.</t>
  </si>
  <si>
    <t>Woven / Jersey / Denim etc.</t>
  </si>
  <si>
    <t>Woven, Denim</t>
  </si>
  <si>
    <t>unit 28, no. 226 and 227,, 8th Main, 3rd phase KIADB Peenya, Industrial Area,, Bangalore</t>
  </si>
  <si>
    <t>Workflow</t>
  </si>
  <si>
    <t>Whether any linked factory reports a trade union to H&amp;M.</t>
  </si>
  <si>
    <t>Yes/No/Data Not Available</t>
  </si>
  <si>
    <t>SHAHI EXPORTS (UNIT 9)</t>
  </si>
  <si>
    <t>No.171, 7th Main Road, Industrial Suburb, Peenya II, Stage, III Phase, BBMP Ward No. 11, Bangalore</t>
  </si>
  <si>
    <t>1. Tech head reviews the schema on "Supplier Master (India)" and "Data Dictionary", and wires up the backend (database + ingestion) so this sheet — or its CSV export — becomes the single source of truth feeding the app, replacing the current hardcoded data.js file.</t>
  </si>
  <si>
    <t>HQ City / HQ State</t>
  </si>
  <si>
    <t>Company headquarters, not factory address.</t>
  </si>
  <si>
    <t>Faridabad / Haryana</t>
  </si>
  <si>
    <t>Company website, MCA/ROC filing, annual report cover page.</t>
  </si>
  <si>
    <t>2. Data researcher works Tier 1 rows first (top 30 suppliers by workforce/relationship with H&amp;M — see Tier column), using the "Data Dictionary" tab for exactly what each field means and where to find it.</t>
  </si>
  <si>
    <t>Latitude / Longitude</t>
  </si>
  <si>
    <t>SHAHI EXPORTS (UNIT HO, FARIDABAD)</t>
  </si>
  <si>
    <t>HQ coordinates for the dashboard map view.</t>
  </si>
  <si>
    <t>FY2023-24</t>
  </si>
  <si>
    <t>IP-01,, Sector 28,, FARIDABAD</t>
  </si>
  <si>
    <t>Decimal degrees</t>
  </si>
  <si>
    <t>28.4089</t>
  </si>
  <si>
    <t>Google Maps lookup of HQ address.</t>
  </si>
  <si>
    <t>3. As each row is completed, update "Data Status" (Not Started -&gt; In Progress -&gt; Data Collected - Pending QA).</t>
  </si>
  <si>
    <t>Denim, Woven</t>
  </si>
  <si>
    <t>&gt;4000 Workers</t>
  </si>
  <si>
    <t>Year the company was founded.</t>
  </si>
  <si>
    <t>4. Tech head / CEO spot-check sourced figures before flipping status to "Verified", then "Live" once it is in the production dashboard.</t>
  </si>
  <si>
    <t>Year (text)</t>
  </si>
  <si>
    <t>1974</t>
  </si>
  <si>
    <t>Company "About Us" page or annual report.</t>
  </si>
  <si>
    <t>SHAHI EXPORTS (UNIT-15/1,FARIDABAD)</t>
  </si>
  <si>
    <t>Verified</t>
  </si>
  <si>
    <t>15/1, MAIN MATHURA ROAD, FARDIABAD</t>
  </si>
  <si>
    <t>5. "Progress Tracker" updates automatically from the Data Status column — check it daily during the sprint.</t>
  </si>
  <si>
    <t>Ankita D</t>
  </si>
  <si>
    <t>Private / Public Listed / Subsidiary.</t>
  </si>
  <si>
    <t>Denim, Jersey, Woven</t>
  </si>
  <si>
    <t xml:space="preserve">No BRSR filing found (private company, not required to file); no sustainability report on company site; not a CDP discloser.
The current sources lack audited ESG metrics. These firms are largely associated with private regional clusters whose detailed reports are not present. 
</t>
  </si>
  <si>
    <t>Not Applicable - ESG Score not disclosed</t>
  </si>
  <si>
    <t>Public Listed</t>
  </si>
  <si>
    <t>SHAHI EXPORTS BBSR</t>
  </si>
  <si>
    <t>Mancheswar Industrial Estate, BHUBANESHWAR</t>
  </si>
  <si>
    <t>arvind-limited</t>
  </si>
  <si>
    <t>BSE/NSE listing status, MCA filing.</t>
  </si>
  <si>
    <t>Arvind Limited</t>
  </si>
  <si>
    <t>Tabs in this workbook</t>
  </si>
  <si>
    <t>Denim, Jersey, Underwear/Swimwear, Woven</t>
  </si>
  <si>
    <t>Ahmedabad</t>
  </si>
  <si>
    <t>Company-wide headcount, not just H&amp;M-linked factories.</t>
  </si>
  <si>
    <t>104,340</t>
  </si>
  <si>
    <t>Gujarat</t>
  </si>
  <si>
    <t>BRSR filing (Principle 3), annual report.</t>
  </si>
  <si>
    <t>SHAHI EXPORTS PVT LTD (UNIT 33)</t>
  </si>
  <si>
    <t xml:space="preserve">  Supplier Master (India) — one row per supplier group (107 total), the core dataset.</t>
  </si>
  <si>
    <t>SY NO 31/1, BHEEMASANDRA, VINYAKA RICE MILL, B H ROAD, TUMKUR</t>
  </si>
  <si>
    <t>Direct GHG emissions, latest reported year.</t>
  </si>
  <si>
    <t>Number, tCO2e</t>
  </si>
  <si>
    <t>382,577</t>
  </si>
  <si>
    <t>BRSR filing, CDP disclosure, or company sustainability report.</t>
  </si>
  <si>
    <t>Committed</t>
  </si>
  <si>
    <t xml:space="preserve">  Factories - Raw (H&amp;M Source) — all 208 individual India factories from H&amp;M's list, for traceability back to source.</t>
  </si>
  <si>
    <t>Indirect GHG emissions from purchased energy, location-based unless stated otherwise.</t>
  </si>
  <si>
    <t>57,186</t>
  </si>
  <si>
    <t>Same source as Scope 1 — state which method (location- vs market-based) in Notes.</t>
  </si>
  <si>
    <t>40% RE by 2025</t>
  </si>
  <si>
    <t>Biomass replacing coal</t>
  </si>
  <si>
    <t>SHAHI EXPORTS PVT LTD (UNIT-53)</t>
  </si>
  <si>
    <t>Levi's, Gap Inc., H&amp;M, American Eagle, Inditex, VF Corporation, Marks &amp; Spencer, Calvin Klein, Hugo Boss, J.Crew, Mango, Banana Republic</t>
  </si>
  <si>
    <t>PLOT NO-78 &amp; 80, ROAD NO-8 TARIHAL INDUSTRIAL, TARIHAL DHARWAD, Hubli</t>
  </si>
  <si>
    <t>Cotton (BCI certified), Organic Cotton, Linen, Viscose, Modal, Tencel</t>
  </si>
  <si>
    <t>India: Gujarat (Ahmedabad, Naroda, Santej) + Bangladesh facility</t>
  </si>
  <si>
    <t xml:space="preserve">  Data Dictionary — every column defined: format, example, how to source it, required for go-live or not.</t>
  </si>
  <si>
    <t xml:space="preserve">Existing Hestiya dashboard (data.js) — originally sourced from BRSR/sustainability report, see platform data.csv for detail
"Arvind_Limited_SR_2022-24_web_0.pdf
</t>
  </si>
  <si>
    <t>FY2024-25</t>
  </si>
  <si>
    <t>Sum of Scope 1 and Scope 2 — should equal the two cells above added together.</t>
  </si>
  <si>
    <t>Number, tCO2e (formula)</t>
  </si>
  <si>
    <t>439,763</t>
  </si>
  <si>
    <t>Formula: =Scope1+Scope2</t>
  </si>
  <si>
    <t>Live</t>
  </si>
  <si>
    <t xml:space="preserve">  Progress Tracker — live counts of Not Started / In Progress / Verified / Live, pulled by formula.</t>
  </si>
  <si>
    <t>Share of the company's energy from renewable sources.</t>
  </si>
  <si>
    <t>Already live</t>
  </si>
  <si>
    <t>65%</t>
  </si>
  <si>
    <t xml:space="preserve">Already researched and shipped on the current dashboard — use as the reference example for depth/format.
</t>
  </si>
  <si>
    <t>SHAHI EXPORTS PVT LTD UNIT 1</t>
  </si>
  <si>
    <t>74 (S&amp;P Global Corporate Sustainability Assessment / CSA)</t>
  </si>
  <si>
    <t>BRSR filing, sustainability report.</t>
  </si>
  <si>
    <t>2/4,2/5 Beratena Agrahara, Electronics city, Hosur Main Road,, Bangalore</t>
  </si>
  <si>
    <t>Scm Garments Pvt Limited</t>
  </si>
  <si>
    <t>Component unit, Manufacturing unit, Processing unit</t>
  </si>
  <si>
    <t>Jersey, Underwear/Swimwear</t>
  </si>
  <si>
    <t>Denim</t>
  </si>
  <si>
    <t>Total energy consumption.</t>
  </si>
  <si>
    <t>Number, TJ</t>
  </si>
  <si>
    <t>4,334.23</t>
  </si>
  <si>
    <t>Private ltd</t>
  </si>
  <si>
    <t>Installed solar capacity.</t>
  </si>
  <si>
    <t>SHAHI EXPORTS PVT LTD UNIT 37</t>
  </si>
  <si>
    <t>Targets set (near-term, 1.5C)</t>
  </si>
  <si>
    <t>Number, MWp</t>
  </si>
  <si>
    <t>Source: H&amp;M Group Public Supplier List, May 2026 — https://hmgroup.com/sustainability/leading-the-change/transparency/supply-chain/</t>
  </si>
  <si>
    <t>84</t>
  </si>
  <si>
    <t>PLOT NO 28/P1,OPP WURTHY ELEKTRONIC, KOORGALLY INDUSTRIAL AREA PHASE III, OFF: HUNSUR MAIN ROAD,, Mysore</t>
  </si>
  <si>
    <t>Sustainability report, press releases.</t>
  </si>
  <si>
    <t>Wind + Solar</t>
  </si>
  <si>
    <t xml:space="preserve">H&amp;M </t>
  </si>
  <si>
    <t>Knitted Fabrics / Knitwear</t>
  </si>
  <si>
    <t>https://www.scmgarments.com/index.php</t>
  </si>
  <si>
    <t>Total water consumption/withdrawal.</t>
  </si>
  <si>
    <t>Number, KL</t>
  </si>
  <si>
    <t>4,828,552</t>
  </si>
  <si>
    <t>BRSR filing.</t>
  </si>
  <si>
    <t>Workbook prepared 2026-07-23.</t>
  </si>
  <si>
    <t>SHAHI EXPORTS PVT LTD UNIT 43</t>
  </si>
  <si>
    <t>Sy No. 45/4, 45/5, 46/1,2 &amp; 58/2,, Chouhalli Village, Muguru Hobli,, T. Narasipura Taluk,, Mysore</t>
  </si>
  <si>
    <t>Total waste generated.</t>
  </si>
  <si>
    <t>Number, MT</t>
  </si>
  <si>
    <t>52,614</t>
  </si>
  <si>
    <t>Data remediation pass 2026-09-11: citation/Notes split, subsidiary rows normalised, date and FY formats standardised, tracker formulas repaired. See the "Change Log" and "QA Review Register" tabs. No row was promoted to Verified or Live.</t>
  </si>
  <si>
    <t>Scope 1+2 divided by Total Energy — a normalised comparison metric across companies.</t>
  </si>
  <si>
    <t>Number (formula)</t>
  </si>
  <si>
    <t>101.46</t>
  </si>
  <si>
    <t>Formula: =Scope1_2/TotalEnergy (TJ)</t>
  </si>
  <si>
    <t>SHAHI EXPORTS PVT LTD UNIT-32</t>
  </si>
  <si>
    <t>SY NO 38, 38/3, 44, 46/1, 46/4,, (NH-4) VAKKALERI HOBLI, KOLAR TALUK &amp; DIST, KOLAR, Kolar</t>
  </si>
  <si>
    <t>Not Stated</t>
  </si>
  <si>
    <t>Jersey, Knitted</t>
  </si>
  <si>
    <t>What "Verified" means in this workbook (added 2026-09-11)</t>
  </si>
  <si>
    <t>No BRSR filing found (private company, not required to file); no sustainability report on company site; not a CDP discloser.
Google search indicates GOTS certification, but no disclosure on the company website to confirm.
Formally committed to the SBTi Net-Zero standard. Reports focus on integrated organic cotton value chains in the Tirupur hub. 
As a GOTS-certified entity, the company adheres to strict environmental and social criteria. Per the sources, this certification guarantees at least 70% to 95% organic fiber content, bans toxic chemical inputs (the "no hazard in, no hazard out" approach), and mandates the treatment of all wastewater to protect local river systems..
Search record: No sustainability disclosure found; company registration confirmed via Company website
SBTi: Validated near-term target: absolute Scope 1+2 -68.1% by FY2030 from an FY2022 base; Scope 3 -25%. Register updated 09/01/2025. Source: https://sciencebasedtargets.org/target-dashboard</t>
  </si>
  <si>
    <t>Reporting Focus: Sustainability reporting for this entity is heavily centered on its integrated organic cotton value chain. This includes full transparency from the cotton farms in Southern India through the spinning, knitting, and processing stages in Tirupur [History].
Future Compliance: With the introduction of GOTS 8.0, Scm Garments will be required to transition toward mandatory annual calculation of Scope 1 and Scope 2 GHG emissions, including a formal GHG Emissions Management Plan to track and demonstrate progress over time</t>
  </si>
  <si>
    <t>Hestiya's composite ESG score (0-100) — confirm current scoring methodology with the tech head before entering new scores.</t>
  </si>
  <si>
    <t>Indian Designs Exports Pvt Ltd</t>
  </si>
  <si>
    <t>Number 0-100</t>
  </si>
  <si>
    <t>SHAHI EXPORTS PVT LTD, ODISHA-2</t>
  </si>
  <si>
    <t>67</t>
  </si>
  <si>
    <t>Plot No- H-10, H-11 &amp; H-12, Mancheswar Industrial Estate, P.O Mancheswar, Dist-Khurda, Bhubaneswar</t>
  </si>
  <si>
    <t>Computed per Hestiya methodology — do not estimate ad hoc.</t>
  </si>
  <si>
    <t>Accessories, Denim, Jersey, Woven</t>
  </si>
  <si>
    <t>Bengaluru</t>
  </si>
  <si>
    <t>Karnataka</t>
  </si>
  <si>
    <t>Private</t>
  </si>
  <si>
    <t>A row marked Verified has had every researched field checked against a primary source - an SEBI BRSR filing, a company sustainability or ESG report, the SBTi Companies Taking Action register, CDP public corporate scores, or an official certification registry. Where a cell reads "Not Disclosed" on a Verified row, it was confirmed that no acceptable source publishes that figure - it does not mean the cell was left unchecked. Most suppliers here are unlisted private companies with no SEBI BRSR obligation, so "Not Disclosed" is the expected and correct answer for them rather than a gap.</t>
  </si>
  <si>
    <t>Net-Zero 5yr</t>
  </si>
  <si>
    <t>H&amp;M</t>
  </si>
  <si>
    <t>Apparel and Home Furnishings</t>
  </si>
  <si>
    <t>Science Based Targets initiative membership/commitment status.</t>
  </si>
  <si>
    <t>Bangalore, Karnataka</t>
  </si>
  <si>
    <t>https://www.indian-designs.com/csr-activities/</t>
  </si>
  <si>
    <t>Verified does NOT mean Live. Live is set only once a row is ingested and rendering in the production dashboard. Rows still at "Data Collected - Pending QA" have NOT been checked against source and must not be published.</t>
  </si>
  <si>
    <t>sciencebasedtargets.org company search.</t>
  </si>
  <si>
    <t>SHAHI EXPORTS PVT LTD. UNIT-63</t>
  </si>
  <si>
    <t>Bagganadu Village, KR Halli Gate, Hiriyuru Tq, Chitradurga Dt., Hiriyuru</t>
  </si>
  <si>
    <t>RE100 initiative membership.</t>
  </si>
  <si>
    <t>Rows held back from verification, and every open judgement call, are listed on the "QA Review Register" tab.</t>
  </si>
  <si>
    <t>Yes/No</t>
  </si>
  <si>
    <t>re100.org member list.</t>
  </si>
  <si>
    <t>SHAHI EXPORTS PVT. LTD.- UNIT 27</t>
  </si>
  <si>
    <t>CDP Climate disclosure score if reported.</t>
  </si>
  <si>
    <t>Letter (A-D)</t>
  </si>
  <si>
    <t>Chookkarasanapalli Sevaganapali, Panchayath, Hosur,Chokkarasanapalli, Hosur Taluk, Krishnagiri District, Hosur</t>
  </si>
  <si>
    <t>B</t>
  </si>
  <si>
    <t>cdp.net search, or company disclosure.</t>
  </si>
  <si>
    <t>No BRSR filing found (private company, not required to file); no sustainability report on company site; not a CDP discloser.
The key elements of their environmental and sustainability focus include:
Tree Planting and Nurturing: Starting with the basics of environmental restoration, the company actively plants and nurtures trees (currently maintaining 900 saplings).
Water and Waste Management: Focuses on water conservation, recycling, waste management, and repurposing.
Sustainable Design and Operations: Incorporates internal collections and Research &amp; Development (R&amp;D) to promote sustainable design practices to their buyers, while taking ownership of operational impacts, waste reduction, and energy sources.</t>
  </si>
  <si>
    <t>LEED Plat. (Leadership in Energy and Environmental Design):A globally recognized green building rating system administered by the U.S. Green Building Council (USGBC). It evaluates facilities across key environmental dimensions: energy efficiency, water conservation, site selection, low-emitting materials, and waste reduction.</t>
  </si>
  <si>
    <t>Environmental management system certification.</t>
  </si>
  <si>
    <t>Certification body registry, company disclosure.</t>
  </si>
  <si>
    <t>Arvind Limited- Denim</t>
  </si>
  <si>
    <t>SHAHI EXPORTS PVT.LTD  UNIT-23</t>
  </si>
  <si>
    <t>9&amp;10, Beretena Agrahara,, Hosur Main Road, Bangalore</t>
  </si>
  <si>
    <t>Global Organic Textile Standard certification.</t>
  </si>
  <si>
    <t>global-standard.org licensee database.</t>
  </si>
  <si>
    <t>Company's stated forward renewable energy target.</t>
  </si>
  <si>
    <t>Free text</t>
  </si>
  <si>
    <t>Subsidiary of Arvind Limited (public company structure, unlisted)</t>
  </si>
  <si>
    <t>100% RE by FY27</t>
  </si>
  <si>
    <t>SHIV JYOTI CREATORS PVT.LTD.</t>
  </si>
  <si>
    <t>Plot No. 25, Sector 27 C, FARIDABAD, Haryana, FARIDABAD</t>
  </si>
  <si>
    <t>Company's stated position on phasing out coal.</t>
  </si>
  <si>
    <t>Transitioning boilers to biomass</t>
  </si>
  <si>
    <t>Sustainability report.</t>
  </si>
  <si>
    <t>https://www.arvind.com/sites/default/files/sustainability_listing/Arvind_Limited_SR_2022-24_web.pdf</t>
  </si>
  <si>
    <t>Known brand customers — H&amp;M is a given for every row in this sheet; add others found in company disclosures.</t>
  </si>
  <si>
    <t>Comma-separated text</t>
  </si>
  <si>
    <t>H&amp;M, Walmart, Gap Inc.</t>
  </si>
  <si>
    <t>Company website, annual report client list, press.</t>
  </si>
  <si>
    <t>SHIVAAY INTERNATIONAL LLP</t>
  </si>
  <si>
    <t>PLOT NO 42,SECTOR 27A, FARIDABAD</t>
  </si>
  <si>
    <t>Main fabric/material inputs.</t>
  </si>
  <si>
    <t>Cotton Fabric, Polyester Fabric</t>
  </si>
  <si>
    <t>Company disclosure, product catalogue.</t>
  </si>
  <si>
    <t>ARVIND LIMITED</t>
  </si>
  <si>
    <t>26/2 &amp; 27/2, Kenchanahalli, Mysore Road,, Bangalore</t>
  </si>
  <si>
    <t>Countries the company sources raw material from.</t>
  </si>
  <si>
    <t>Denim, Underwear/Swimwear</t>
  </si>
  <si>
    <t>India + China + Bangladesh</t>
  </si>
  <si>
    <t>Sustainability report, supplier disclosures.</t>
  </si>
  <si>
    <t>In Progress</t>
  </si>
  <si>
    <t>Subsidiary/division of Arvind Limited - not counted separately. Reports only at parent level; unit-level figures are not separately disclosed.</t>
  </si>
  <si>
    <t>Exact source(s) used for the researched fields in this row — required for credibility.</t>
  </si>
  <si>
    <t>Text incl. URL/report name + page</t>
  </si>
  <si>
    <t>BRSR FY2023-24, p.45; hmgroup.com supplier list May 2026</t>
  </si>
  <si>
    <t>Arvind Ltd - Santej</t>
  </si>
  <si>
    <t>ARVIND LIMITED (ARSIKERE UNIT)</t>
  </si>
  <si>
    <t>Fill in as you research — this is what gets checked in QA.</t>
  </si>
  <si>
    <t>NO. 24,/6 and 24,8 Old unit No 24,5, Unit1 &amp; Unit2Kodihalli Kasaba Hobli, Tiptur road Arsikere-taluk, Hassan</t>
  </si>
  <si>
    <t>Jersey, Woven</t>
  </si>
  <si>
    <t>Fiscal year the figures above are drawn from.</t>
  </si>
  <si>
    <t>From the source document.</t>
  </si>
  <si>
    <t>ARVIND LIMITED (CHITRADURGA UNIT 2)</t>
  </si>
  <si>
    <t>04, KENCHANAKATTE,BEEMASAMUDRA, ROAD, OPP.DAVALAGIRI BADAVANE, Chitradurga</t>
  </si>
  <si>
    <t>Date a human last checked this row against source.</t>
  </si>
  <si>
    <t>Date</t>
  </si>
  <si>
    <t>2026-08-01</t>
  </si>
  <si>
    <t>Set when you finish researching/QA-ing the row.</t>
  </si>
  <si>
    <t>Underwear/Swimwear</t>
  </si>
  <si>
    <t>Raymond Uco Denim Pvt Ltd</t>
  </si>
  <si>
    <t>RAYMOND UCO DENIM PVT LTD; RAYMOND UCO DENIM PVT. LTD.</t>
  </si>
  <si>
    <t>Mumbai</t>
  </si>
  <si>
    <t>Maharashtra</t>
  </si>
  <si>
    <t>Not Started / In Progress / Data Collected - Pending QA / Verified / Live.</t>
  </si>
  <si>
    <t>Dropdown</t>
  </si>
  <si>
    <t>Private (JV entity of Raymond Ltd)</t>
  </si>
  <si>
    <t>Update as you work.</t>
  </si>
  <si>
    <t>ARVIND LTD - SHIRTING UNIT</t>
  </si>
  <si>
    <t>No. 63/9, Doddathogur, Begur Electronic city, Bangalore</t>
  </si>
  <si>
    <t>Researcher responsible for this row.</t>
  </si>
  <si>
    <t>Divyata</t>
  </si>
  <si>
    <t>Set by whoever assigns the work.</t>
  </si>
  <si>
    <t>10% by 2035</t>
  </si>
  <si>
    <t>Group-level 30% reduction</t>
  </si>
  <si>
    <t>Raymond Lifestyle / JV Brands</t>
  </si>
  <si>
    <t>Cotton and Denim Fabrics</t>
  </si>
  <si>
    <t>Yavatmal, Maharashtra</t>
  </si>
  <si>
    <t xml:space="preserve">
https://www.raymonddenim.com/Sustain/Garment
1766468001313Raymond Ltd. ESG Data book 2024-25.pdf</t>
  </si>
  <si>
    <t>ARVIND YASHWANTPUR UNIT</t>
  </si>
  <si>
    <t>Anything QA or engineering should know — data quality caveats, conflicting sources, factory vs. company-level ambiguity, etc.</t>
  </si>
  <si>
    <t>No 86, KL Industrial suburb,, 2nd Stage,  Yashwantpur,, Bangalore</t>
  </si>
  <si>
    <t>Scope 2 is market-based per company disclosure, not location-based</t>
  </si>
  <si>
    <t>As needed.</t>
  </si>
  <si>
    <t>Raymond UCO Denim Pvt. Ltd. integrates sustainability through eco-friendly manufacturing processes and resource conservation, adhering to group-level reporting under its parent entity, Raymond Limited. Here, we have collected data from the company's sustainability portal, as it is considered as direct disclosure from Raymond Uco Denim Pvt Ltd's side.
Raymond Limited ESG Data Book, focusing on zero liquid discharge, significant greenhouse gas reduction goals, and eco-friendly manufacturing across its plant in Yavatmal, Maharashtra.
The data book specifies the implementation of 450 solar hot water systems/panels across operational sites rather than an explicit photovoltaic capacity in MWp.
Website highlights:
1. Less Water
Reduced Consumption: Lowered water usage from 75 liters down to 60 liters per pair of jeans.
Advanced Water Recycling: Utilizes an advanced Effluent Treatment Plant (ETP) to recycle 97% of water.
Ozone Technology: Implements ozone instead of traditional washes for de-sizing garments.
2. Less Waste
Reduced Sludge Generation: Uses hand-made stones and abrasive plates instead of traditional pumice stones, which reduces sludge at the ETP by 90% to 95%.
Laser Finishing: Replaces traditional manual sanding with lasers to achieve the desired washed aesthetic.
3. Less Energy
Lower Consumption Rates: Optimized processes to reduce energy usage to 1.10 kWh per pair of jeans.
Shorter Cycle Times: Shorter wash cycles achieved via ozone de-sizing and lasers directly decrease total energy consumption.
4. Less Chemicals
Chemical Replacements: Incorporates potassium permanganate (PP) replacement chemicals to make the garmenting process more sustainable.
Certified Eco-Friendly Inputs: Uses GreenScreen and BlueSign certified chemicals to achieve ZDHC (Zero Discharge of Hazardous Chemicals) compliance.
Sustainable Management: Implements specialized chemical management systems for transitioning traditional denim production to eco-friendly alternatives.</t>
  </si>
  <si>
    <t>SCM GARMENTS PVT LIMITED UNIT-27</t>
  </si>
  <si>
    <t xml:space="preserve">CITI Winner
"CITI Winner" refers to a recipient of the national CITI Textile Sustainability Awards &amp; CITI-Birla Awards. Awarding Body: Organized annually by the Confederation of Indian Textile Industry (CITI) in partnership with the Ministry of Textiles.Scope of Recognition: Acknowledges Indian textile and apparel manufacturers for excellence in:Excellence in Carbon Emissions Reduction / Low Carbon FootprintBest Alternate Materials UseWater Management &amp; ConservationRenewable Energy Integration &amp; HR Practices.
Raymond Uco Denim Pvt Ltd: Recognized as a CITI Winner for Best Alternate Materials Use.
</t>
  </si>
  <si>
    <t>No:174/3C2,ANTHIYUR MAIN ROAD, PUDUKARAI PUDUR, NANJAI GOPI Villag, Gobichettipalayam Taluk, ERODE</t>
  </si>
  <si>
    <t>vamani-overseas</t>
  </si>
  <si>
    <t>SCM GARMENTS PVT LIMITED</t>
  </si>
  <si>
    <t>Vamani Overseas Pvt. Ltd.</t>
  </si>
  <si>
    <t>Home (textile), Woven</t>
  </si>
  <si>
    <t>Faridabad</t>
  </si>
  <si>
    <t>Haryana</t>
  </si>
  <si>
    <t>SCM GARMENTS PVT LIMITED UNIT-X</t>
  </si>
  <si>
    <t>No.: 896/2, Door No. / Plot No.: 19, A.B.T.Road Extn, Suriyan Nagar, Karuvampalayam, Taluk, Tiruppur</t>
  </si>
  <si>
    <t>80% renewable electricity by 2030</t>
  </si>
  <si>
    <t>100% PNG-fired boilers + biomass-fired boiler</t>
  </si>
  <si>
    <t>ZARA (Inditex), LEVI's, Mango, Kiabi, Target, C&amp;A, H&amp;M</t>
  </si>
  <si>
    <t>Cotton (BCI/GOTS/OCS), Polyester (GRS/RCS), Viscose (Ecovera/Ecoliva), Linen</t>
  </si>
  <si>
    <t>Existing Hestiya dashboard (data.js) — originally sourced from BRSR/sustainability report, see platform data.csv for detail</t>
  </si>
  <si>
    <t>501-1000 Workers</t>
  </si>
  <si>
    <t>Already researched and shipped on the current dashboard — use as the reference example for depth/format.</t>
  </si>
  <si>
    <t>First Steps Babywear Pvt Ltd</t>
  </si>
  <si>
    <t>SCM GARMENTS PVT LTD (UNIT XI)</t>
  </si>
  <si>
    <t>S.F. NO 40, N.G PALAYAM PUDUR PIRIVU, PUDHUPALAYAM, THEKKALUR, AVINASHI, TIRUPUR</t>
  </si>
  <si>
    <t>D</t>
  </si>
  <si>
    <t>100% by 2030–2035</t>
  </si>
  <si>
    <t>H&amp;M, Walmart, Carters, Next Retailer, Target, Primark, George ASDA, Landmark Kmart, Tesco</t>
  </si>
  <si>
    <t>Cotton Babywear Fabrics</t>
  </si>
  <si>
    <t>https://www.firststepsindia.com/sustainability-report/</t>
  </si>
  <si>
    <t>SCM GARMENTS PVT LTD UNIT-28</t>
  </si>
  <si>
    <t>SF NO: 25/4,5,6, Alampalayam, thekalur, avinashi taluk, tirupur districT, Tiruppur</t>
  </si>
  <si>
    <t>SCM TEXTILE PROCESSING MILLS</t>
  </si>
  <si>
    <t>29-C, Marapalam Road, Karungalpalayam (Post), ERODE</t>
  </si>
  <si>
    <t>FY2025</t>
  </si>
  <si>
    <t>The reporting framework aligns with broader decarbonization goals, aiming to optimize production efficiency, transition toward renewable solar and wind energy sources, and systematically reduce Scope 1, Scope 2, and Scope 3 impacts heading toward net-zero manufacturing targets.
SBTi: Validated near-term target: absolute Scope 1+2 -75.0% by 2030 from a 2024 base; Scope 3 -37.5% by 2035. Register updated 13/08/2026. Source: https://sciencebasedtargets.org/target-dashboard
CDP 2025 scores as published by the company: Climate D, Water B-. The CDP Score column carries the climate grade. Reproduced from the company report; not independently confirmed against CDP's own database.</t>
  </si>
  <si>
    <t>Arvind Smart Textiles Limited</t>
  </si>
  <si>
    <t>Denim, Jersey</t>
  </si>
  <si>
    <t>INDIAN DESIGN EXPORTS PVT LTD. - UNIT IX</t>
  </si>
  <si>
    <t>survey no. 293, 366-2 &amp; 366-3, Parigi-Village &amp; Mandal, Penukonda Taluk,  Sri Satya Sai Dst, Ananthpur district</t>
  </si>
  <si>
    <t>INDIAN DESIGNS (INDIAN DESIGNS EXPORTS PVT. LTD. UNIT - IV)</t>
  </si>
  <si>
    <t>Survey No. 8/2,, V.P. Katha No. 851, Benganur, Village Kasaba Hobli,, BANGARPET</t>
  </si>
  <si>
    <t>Cl Gupta Exports Ltd</t>
  </si>
  <si>
    <t>Accessories, Socks/Tights/Micro tights</t>
  </si>
  <si>
    <t>Moradabad</t>
  </si>
  <si>
    <t>Delhi</t>
  </si>
  <si>
    <t>Accessories, Woven</t>
  </si>
  <si>
    <t>Committed to validating targets</t>
  </si>
  <si>
    <t>75% Solar Electricity Share by 2030</t>
  </si>
  <si>
    <t>INDIAN DESIGNS EXPORTS PVT LTD</t>
  </si>
  <si>
    <t>No Direct Coal Usage</t>
  </si>
  <si>
    <t>NO. 10, Behind Lidkar quarters, K.G. Halli, Bangalore</t>
  </si>
  <si>
    <t>Metal (Aluminum, steel, brass, copper), Wood (Native/imported timber, MDF, ply-board), Stone (Marble), and Glass (Mouth-blown glass)</t>
  </si>
  <si>
    <t>As a handicraft and furniture manufacturer specializing in metal, wood, stone, and glass, C.L. Gupta Exports does not engage in textile production or fabric sourcing.</t>
  </si>
  <si>
    <t>C.L.-Gupta-Exports_Sustainability_Report_2024
https://clgupta.com/wp-content/uploads/2026/01/C.L.-Gupta-Exports_Sustainability_Report_2024_fINAL.pdf</t>
  </si>
  <si>
    <t>INDIAN DESIGNS EXPORTS PVT LTD UNIT 14</t>
  </si>
  <si>
    <t>Property No 247 to 250, (Khata No 106/138), Nagwara Village, Kasaba Hobli, Bangalore</t>
  </si>
  <si>
    <t>CY2024</t>
  </si>
  <si>
    <t>Waste Calculation: 12,310.79 MT (CY 2024 Total Non-Hazardous: 12,189.89 MT + Total Hazardous: 120.90 MT)
H&amp;M has collaborated with institutional partners (such as the International Finance Corporation) to help strategic manufacturing suppliers—including C.L. Gupta Exports—adopt renewable energy solutions and lower their carbon footprints.Supplier Policy Alignment. C.L. Gupta Exports formally integrates compliance frameworks, ethical standards, and social accountability guidelines that align with major international retail compliance expectations, referencing partners like H&amp;M in vendor documentation.
Reporting basis: calendar year 2024 (Jan-Dec), not a financial year. Renewable electricity share 68.23%; renewable share of total energy 14.96% - the column carries the energy basis. Scope 2 of 5,694.2 tCO2e is the location/excluding-I-REC basis; counting 8,100 MWh of I-RECs the company reports market-based Scope 2 of zero. Total waste 12,310.79 MT is hazardous 120.90 + non-hazardous 12,189.89; no combined total is printed in the report. Solar 8.6 MW is on-site plus off-site open access.</t>
  </si>
  <si>
    <t>Global Mode And Accessories Pvt. Ltd.</t>
  </si>
  <si>
    <t>Global Organic Textile Standard (GOTS), Global Recycle Standard (GRS), Organic Content Standard (OCS), Recycled Claim Standard (RCS)</t>
  </si>
  <si>
    <t>Accessories, Denim, Home (textile), Jersey, Woven</t>
  </si>
  <si>
    <t>INDIAN DESIGNS EXPORTS PVT. LTD - 3</t>
  </si>
  <si>
    <t>Noida</t>
  </si>
  <si>
    <t>Uttar Pradesh</t>
  </si>
  <si>
    <t>Plot No.243,243A,6th Main, Peenya Industrial Area, Phase -3, Bangalore</t>
  </si>
  <si>
    <t>International Brands</t>
  </si>
  <si>
    <t>Apparel Accessories</t>
  </si>
  <si>
    <t>Noida, Uttar Pradesh</t>
  </si>
  <si>
    <t>https://globalfashionindia.com/csr
Corporate Social Responsibility - Global Mode and Accessories</t>
  </si>
  <si>
    <t>INDIAN DESIGNS EXPORTS PVT. LTD. UNIT XII</t>
  </si>
  <si>
    <t>Sy. No. 618-1, 618-2, Main Road, Cheepuleti (V), Madakasira (M), Sri Satya Sai Dist., Madakasira</t>
  </si>
  <si>
    <t>KPR MILL LIMITED (GARMENT DIVISION)</t>
  </si>
  <si>
    <t>SF NO 7,7/1, DNO 453/1,453/2, AVINASHI ROAD, THEKKALUR, Tiruppur</t>
  </si>
  <si>
    <t>QUANTUM KNITS-3 (A UNIT OF KPR MILL LIMITED)</t>
  </si>
  <si>
    <t xml:space="preserve">No BRSR filing found (private company, not required to file); no sustainability report on company site; not a CDP discloser.
GOTS marked Yes based on H&amp;M's own supplier certification disclosure . ISO14001 not mentioned in H&amp;M's cert list or found elsewhere. No Scope 1/2, energy, water, employee totals, or ESG-relevant figures found beyond generic company marketing pages. </t>
  </si>
  <si>
    <t>Operates worker-welfare programs, including a charitable trust focused on medical aid and health support for factory workers and their families.Focuses on workplace gender equality, female empowerment, and non-discrimination initiatives across manufacturing operations.</t>
  </si>
  <si>
    <t>Cta Apparels Pvt Ltd</t>
  </si>
  <si>
    <t>K.P.R. Mill Limited</t>
  </si>
  <si>
    <t>QUANTUM KNITS 3</t>
  </si>
  <si>
    <t>NO. 460, AVINASHI MAIN ROAD, THEKKALUR, TIRUPUR</t>
  </si>
  <si>
    <t>Biomass/PNG</t>
  </si>
  <si>
    <t>PNG and biomass steam</t>
  </si>
  <si>
    <t>Major global fashion brands and retailers (including H&amp;M, Marks &amp; Spencer, Cecil, Street-One, and Kappahl)</t>
  </si>
  <si>
    <t>Cotton and Man-Made Fibers (including organic cotton and 100% recycled polyester)</t>
  </si>
  <si>
    <t>India (In-house vertical processing, weaving/knitting units in Noida and Pilkhua, Uttar Pradesh)</t>
  </si>
  <si>
    <t>https://ctaapparels.com/sustainability</t>
  </si>
  <si>
    <t>RADNIK EXPORTS GLOBAL PRIVATE LIMITED (D-227)</t>
  </si>
  <si>
    <t>Plot No, D-227, Gautam Budh Nagar, Noida</t>
  </si>
  <si>
    <t>RADNIK EXPORTS GLOBAL PVT LIMITED</t>
  </si>
  <si>
    <t>Radnik Exports Global Pvt Limited</t>
  </si>
  <si>
    <t>FY2025-26</t>
  </si>
  <si>
    <t>No BRSR filing found (private company, not required to file); no sustainability report on company site; not a CDP discloser.
Real, specific sustainability targets found (2027 renewable electricity goal, ZLD/RO water reuse) but no quantified current-state Scope 1/2, energy, or water figures — these are forward targets, not baseline disclosures. GOTS/ISO14001 not confirmed.
SBTi: Absent from the SBTi register. The previously recorded "Net-Zero 2030" was a company aspiration in trade press, not a validated target. Source: https://sciencebasedtargets.org/target-dashboard</t>
  </si>
  <si>
    <t>RADNIK EXPORTS GLOBAL PVT LIMITED (UNIT C16)</t>
  </si>
  <si>
    <t>vardhman-textiles</t>
  </si>
  <si>
    <t>C-16, Sector-67, Gautam Budha Nagar, Noida</t>
  </si>
  <si>
    <t>Vardhman Textiles</t>
  </si>
  <si>
    <t>Ludhiana</t>
  </si>
  <si>
    <t>Punjab</t>
  </si>
  <si>
    <t>Not found</t>
  </si>
  <si>
    <t>53 MW solar capacity by 2025</t>
  </si>
  <si>
    <t>H&amp;M, Gap, Banana Republic, Old Navy, Esprit, Benetton, Ford (special steels)</t>
  </si>
  <si>
    <t>Lint Cotton (primary), Organic Cotton, Better Cotton, Man-made Fibres</t>
  </si>
  <si>
    <t>RADNIK EXPORTS GLOBAL PVT LIMITED (UNIT D201)</t>
  </si>
  <si>
    <t>India (Punjab, HP, MP) + limited global specialty fibres</t>
  </si>
  <si>
    <t>UNIT D -201, SECTOR 63, Noida</t>
  </si>
  <si>
    <t>Victus Dyeings</t>
  </si>
  <si>
    <t>Victus Dyeing; Victus Dyeings</t>
  </si>
  <si>
    <t>Kizhakkambalam</t>
  </si>
  <si>
    <t>Kerala</t>
  </si>
  <si>
    <t>RADNIK EXPORTS GLOBAL PVT LIMITED (UNIT D35)</t>
  </si>
  <si>
    <t>Targets set (near-term + net-zero, 1.5C)</t>
  </si>
  <si>
    <t>D-35.Sector 59</t>
  </si>
  <si>
    <t>Marks &amp; Spencer (M&amp;S)</t>
  </si>
  <si>
    <t>Dyed and Processed Fabrics [History]</t>
  </si>
  <si>
    <t>https://www.linkedin.com/company/victus-dyeings/?original_referer=https%3A%2F%2Fwww%2Egoogle%2Ecom%2F&amp;originalSubdomain=in</t>
  </si>
  <si>
    <t>RADNIK EXPORTS GLOBAL PVT LIMITED (UNIT E2)</t>
  </si>
  <si>
    <t>E-2,, SECTOR- 59, Noida</t>
  </si>
  <si>
    <t>Accessories, Home (textile), Jersey, Woven</t>
  </si>
  <si>
    <t>EVERBLUE APPAREL LIMITED UNIT II</t>
  </si>
  <si>
    <t>PLOT NO A-3, APPAREL PARK, I PHASE, INDUSTRIAL AREA, DODDABALLAPURA TALUK, Bangalore</t>
  </si>
  <si>
    <t>RAYMOND UCO DENIM PVT LTD</t>
  </si>
  <si>
    <t>No sustainability disclosure found; company registration confirmed via Linkedin. Unable to navigate through company website given.
SBTi: Validated 25/06/2026: near-term Scope 1+2 to 2030 from a 2023 base; net-zero across the value chain by 2050. Source: https://sciencebasedtargets.org/target-dashboard
Victus publishes "89% of power generation from windmills" alongside unit figures of 13% (processing) and 76% (garments). These sit on different bases and cannot be reconciled into a single renewable share, so none is entered in the column. The sustainability page was last updated January 2023 and carries no reporting year. Solar is listed as "under process", i.e. not operational.</t>
  </si>
  <si>
    <t xml:space="preserve">CITI Runner
Recognized as a CITI Award Runner (Confederation of Indian Textile Industry Sustainability Awards) for environmental practices and process control.
</t>
  </si>
  <si>
    <t>Kitex Garments Ltd</t>
  </si>
  <si>
    <t>Kizhakkambalam (Aluva)</t>
  </si>
  <si>
    <t>Public Ltd</t>
  </si>
  <si>
    <t>RAYMOND UCO DENIM PVT LTD (EVERBLUE APPARELS)</t>
  </si>
  <si>
    <t>NO. D1&amp;D2,APPAREL PARK, KIABD INDUSTRIAL  AREA, Doddaballapur, Bangalore</t>
  </si>
  <si>
    <t>Increasing use of RE; no specific commitment goals set with timelines</t>
  </si>
  <si>
    <t>Walmart, Carters, Gerber, Amazon, Sam's Club, and LAT</t>
  </si>
  <si>
    <t>Cotton, organic cotton, polyester, and blends</t>
  </si>
  <si>
    <t>Kerala (Kizhakkambalam) and Telangana (Warangal)</t>
  </si>
  <si>
    <t>https://www.kitexgarments.com/wp-content/uploads/2026/04/BRSR-24-25.pdf</t>
  </si>
  <si>
    <t>RAYMOND UCO DENIM PVT. LTD.</t>
  </si>
  <si>
    <t>Plot No. C-1, MIDC, Lohara, Yavatmal</t>
  </si>
  <si>
    <t>VAMANI OVERSEAS PRIVATE LIMITED</t>
  </si>
  <si>
    <t>Plot No: -159A, Udhog Kendra-1, Eco, tech-3, Greater Noida, Distt:- Gaut, am Budh Nagar (U.P), GREATER NOIDA</t>
  </si>
  <si>
    <t>VAMANI OVERSEAS PVT LTD</t>
  </si>
  <si>
    <t>Component unit, Manufacturing unit</t>
  </si>
  <si>
    <t>VAMANI OVERSEAS PVT LTD - NOIDA</t>
  </si>
  <si>
    <t>D-247/5A ,sector-63, Gautam Budhnagar, Noida</t>
  </si>
  <si>
    <t>ISO14001 was NOT found in the company's own certification list (Section B lists WRAP/SQP/GOTS/SCAN/OEKO-TEX, no ISO14001). Renewable Energy % not separately disclosed as a percentage in this filing.
sanity checked based on 2024-2025 data. Refered from P6 Section, page  - 140 of the pdf document.
FY2024-25 BRSR, standalone boundary, unassured ("Name of assurance provider: Not Applicable"). Energy table: electricity 79,293 GJ + fuel 93,299 GJ + other 117,958 GJ = 290,550 GJ. The BRSR uses the older energy table with NO renewable/non-renewable split, so a renewable percentage cannot be derived without estimating. Water withdrawal 93,360 KL. Scope 1 172,480 tCO2e as filed - see the QA Review Register, this needs confirming against the filing.
Confirmed against the FY2024-25 BRSR: total energy 290,550 GJ (electricity 79,293 + fuel 93,299 + other 117,958); water withdrawal 93,360 KL (surface 73,237 + rainwater 20,123); total waste 762.96 MT. Workforce: 610 employees plus 4,648 workers. The BRSR has no renewable/non-renewable energy split, so no renewable share can be stated. EMISSIONS WITHHELD - ROOT CAUSE ESTABLISHED 2026-09-13. The figures are not tonnes. The identical values 2,68,541 and 33,64,854 were first published in the FY2022-23 BRSR under the unit "Gco2/Littre" (an apparent garbling of gCO2/litre, not a mass unit), then carried forward unchanged into the FY2023-24 and FY2024-25 tables relabelled "Metric tonnes of CO2 equivalent". The FY2024-25 filing reports Scope 1 1,72,480 and Scope 2 36,78,500; combined against its own 2,90,550 GJ that is about 13,250 tCO2e/TJ, where textile manufacturers report roughly 50-150. Kitex computed its own intensity row (0.00039 per rupee of turnover, against turnover of Rs 98,280.46 lakhs) from these absolutes, so they are what the company intends rather than a misplaced intensity. The filing is unassured ("Not Applicable"). kg, lb and cumulative readings all fail to reconcile. No CDP response, sustainability report or ESG datasheet exists. Scope 1 and Scope 2 are therefore NOT DISCLOSED for Kitex and can only come from the company. Query sent to the CFO 2026-09-13.</t>
  </si>
  <si>
    <t>Social &amp; Governance Indicators:Board Gender Diversity: 33.3% female representation on the Board of Directors.Employee Welfare &amp; Safety: 100% training coverage on health, safety, and human rights across its manufacturing workforce.</t>
  </si>
  <si>
    <t>Cotton World</t>
  </si>
  <si>
    <t>Accessories, Jersey, Woven</t>
  </si>
  <si>
    <t>Partnership</t>
  </si>
  <si>
    <t>VAMANI OVERSEAS PVT LTD UNIT 2</t>
  </si>
  <si>
    <t>B-4/5, Sector-63,, Gautam Budh Nagar, Noida, Noida</t>
  </si>
  <si>
    <t>Does not target an immediate phase-out of coal</t>
  </si>
  <si>
    <t>Tata CLiQ, H&amp;M</t>
  </si>
  <si>
    <t>cotton, linen, bamboo, and modal, emphasizing regional and eco-conscious textile production.</t>
  </si>
  <si>
    <t>Mumbai, India, with retail stores distributed across various Indian cities.</t>
  </si>
  <si>
    <t>Cottonworld Initiatives: Our Commitment to Sustainability
https://cottonworld.net/pages/initiative?srsltid=AfmBOooiOqQWPLyAiazAyS0GPE5LV0QjoC_sYhf12AOd7YbSsq6PjuBE</t>
  </si>
  <si>
    <t>VAMANI OVERSEAS PVT. LTD - GUNTUR</t>
  </si>
  <si>
    <t>Door No 101-5,S. No. 253, 253/1, 258/3 of Budampadu, Door No. 101-5, Guntur</t>
  </si>
  <si>
    <t>VAMANI OVERSEAS PVT. LTD.</t>
  </si>
  <si>
    <t>Vamani Overseas Pvt Ltd-C2 &amp; C3, Sector 65  Noida, District: Gautam Budh Nagar, Noida</t>
  </si>
  <si>
    <t>Data Collected - Pending QA</t>
  </si>
  <si>
    <t>No BRSR filing found (private company, not required to file); no sustainability report on company site; not a CDP discloser.
Based on the Cottonworld Initiatives page, here are the sustainability details and commitments:
"Adopt a Tree. Adopt Nature" Initiative:
Cottonworld emphasizes that planting a tree is one of the most powerful ways to make a difference for the environment.
They pledge to do their part for the planet by encouraging customers to do theirs.
Every garment comes with seeds, empowering customers to plant a tree and give back to nature.
HELD FROM VERIFICATION: supplier identity is not settled - see the QA Review Register.</t>
  </si>
  <si>
    <t>124/150
Internal H&amp;M Assessment / Audit System: H&amp;M evaluates suppliers using internal scorecards (such as their Green Fashion Initiative or internal sustainability evaluations) that rate factories out of total weighted points (e.g., 150 points total).</t>
  </si>
  <si>
    <t>Le-Shark Global Llp</t>
  </si>
  <si>
    <t>Accessories, Jersey</t>
  </si>
  <si>
    <t>COLORTONE TEXTILES PRIVATE LIMITED</t>
  </si>
  <si>
    <t>Plot No. 140 -A, KIADB Badanaguppe, Kellamballi Industrial Area, CHAMARAJANAGAR</t>
  </si>
  <si>
    <t>LLP</t>
  </si>
  <si>
    <t>FIRST STEPS BABYWEAR PVT LTD</t>
  </si>
  <si>
    <t>Reputed international customers</t>
  </si>
  <si>
    <t>Knitted and printed garments</t>
  </si>
  <si>
    <t>lesharkglobal.com</t>
  </si>
  <si>
    <t>FIRST STEPS (UNIT 2 - NERALUR VILLAGE)</t>
  </si>
  <si>
    <t>No 45/1, Neralur Village,, Gudahatti gate, Attibele Hobli, Anekal Taluk, Bangalore</t>
  </si>
  <si>
    <t>FIRST STEPS BABY WEAR PRIVATE LIMITED</t>
  </si>
  <si>
    <t>NO.235-D, III PHASE, BOMMASANDRA INDUSTRIAL AREA, HOSUR ROAD., Bangalore</t>
  </si>
  <si>
    <t>No GOTS or ISO14001. No Scope 1/2, energy, or water figures found. No public Scope 1 / Scope 2 GHG, energy consumption, or water consumption figures available.
As a private LLP, the company does not file public SEBI BRSR reports or publish direct CDP climate disclosure ratings.
No BRSR filing found (private company, not required to file); no sustainability report on company site; not a CDP discloser.</t>
  </si>
  <si>
    <t>OEKO-TEX Standard 100: Confirmed / Active certification for product chemical safety.
ISO-9002: Quality management standard verified.
GOTS / ISO 14001: Not GOTS certified and No ISO 14001 certification found.</t>
  </si>
  <si>
    <t>K.H. Exports India Private Limited</t>
  </si>
  <si>
    <t>FIRST STEPS BABYWEAR PVT LTD-UNIT V</t>
  </si>
  <si>
    <t>Accessories, Bag&amp;Belt, Footwear</t>
  </si>
  <si>
    <t>Plot No.: Plot.No:15,16 and183, Sipcot Industrial Complex, Sipcot, Phase-I, Hosur Taluk, Krishnagiri, Hosur</t>
  </si>
  <si>
    <t>Chennai</t>
  </si>
  <si>
    <t>Commitment removed (expired)</t>
  </si>
  <si>
    <t>FIRST STEPS BABYWEAR PVT. LTD UNIT-VI</t>
  </si>
  <si>
    <t>E-19B, Sipcot Industrial Complex, Moranapalli Village, Phase-II, Hosur</t>
  </si>
  <si>
    <t>Focuses heavily on resource efficiency—specifically minimizing water and energy consumption across operations and partner tanneries—however, specific numeric corporate targets for a 100% renewable energy transition or net-zero timeline are not publicly itemized on their core sustainability portal.</t>
  </si>
  <si>
    <t>There is no explicit coal phase-out policy or timeline officially stated in their corporate governance or sustainability framework. Their primary energy and environmental focus remains centered on reducing resource volatility, optimizing operational technology, and adhering to strict LWG standards in partner tanneries.</t>
  </si>
  <si>
    <t>Specific names of major retail or brand buyers are kept confidential as part of their standard export and manufacturing business arrangements, though they supply global leather goods markets adhering to international ethical and environmental standards.</t>
  </si>
  <si>
    <t>leather</t>
  </si>
  <si>
    <t>Chennai, Tamil Nadu, India.</t>
  </si>
  <si>
    <t>KH Group
https://khindia.com/sustainability</t>
  </si>
  <si>
    <t>ARVIND SMART TEXTILES LIMITED</t>
  </si>
  <si>
    <t>Survey No. 504 &amp; 506, Sarkhej Bavla, Road, NH 8A, Matoda, Ta: Sanand,, Ahemdabad</t>
  </si>
  <si>
    <t>ARVIND SMART TEXTILES LTD (RANCHI)</t>
  </si>
  <si>
    <t>Ring-Road,Vill-: Malti, Rampur,, PS-Namkum Ranchi, Ranchi</t>
  </si>
  <si>
    <t>Leather Working Group (LWG) certification is a genuine, verifiable environmental credential specific to tanneries — noted here since GOTS/ISO14001 don't apply to a leather-goods manufacturer the same way; left the GOTS/ISO14001 dropdown fields "No" since neither is the right certification for this industry. No Scope 1/2, energy, water figures found. No BRSR filing found (private company, not required to file); no sustainability report on company site; not a CDP discloser.
Leather Sourcing &amp; Standards: The leather used in their products is sourced from tanneries in the Ranipet District, India, that are audited and certified by the Leather Working Group (LWG)—representing the highest environmental standard for leather tanning. These partner tanneries focus on reducing water and energy consumption, minimizing hazardous substances, implementing material traceability, and fighting against deforestation practices.
Resource Efficiency &amp; Technology: The company utilizes resource-efficient technology to minimize environmental, social, and human impact while adhering to international and national business ethics.
Business Strategy &amp; Framework: KH Group recognizes critical sustainability challenges—such as fluctuating resource availability, strict government regulations, rising stakeholder expectations, and investor scrutiny. To address these, they have implemented a comprehensive Sustainability Framework and policies designed to place sustainability at the core of their business operations, supported by employee training and education.
SBTi: The leather goods division committed and the commitment lapsed on 14/12/2023 without targets being set. Source: https://sciencebasedtargets.org/target-dashboard</t>
  </si>
  <si>
    <t>PAPCON (INDORE) PVT  LTD</t>
  </si>
  <si>
    <t>Atlas Export Enterprises</t>
  </si>
  <si>
    <t>Plot No.-103, Industrial Area,  Mhow-Neemuch Road, Sector-1, Pithampur</t>
  </si>
  <si>
    <t>Home (textile)</t>
  </si>
  <si>
    <t>Karur</t>
  </si>
  <si>
    <t>CL GUPTA EXPORTS LIMITED</t>
  </si>
  <si>
    <t>18 kms before Moradabad,, Delhi Highway, Village Jivai, Amroha</t>
  </si>
  <si>
    <t>CL Gupta Exports Ltd</t>
  </si>
  <si>
    <t>5 MW captive capacity; began RE sales to 3rd parties in FY25</t>
  </si>
  <si>
    <t>Diversified clients in UK (21%), Sweden (12%), Germany, US, France</t>
  </si>
  <si>
    <t>Cotton yarn, linen, jute, and bamboo</t>
  </si>
  <si>
    <t>Karur, Tamil Nadu</t>
  </si>
  <si>
    <t>https://sciencebasedtargets.org/target-dashboard</t>
  </si>
  <si>
    <t>PROJECT SNEH</t>
  </si>
  <si>
    <t>Near C L Gupta Farm House,Ram Ganga, MORADABAD, MORADABAD</t>
  </si>
  <si>
    <t>GLOBAL MODE - UNIT C 120</t>
  </si>
  <si>
    <t>C 120, SECTOR 63, Noida</t>
  </si>
  <si>
    <t>Since Atlas Export Enterprises is a privately held partnership/unlisted entity, it is not legally required to publish public SEBI BRSR annual reports or audited ESG filings.
Google search surfaced an unconfirmed mention of CDP participation — not verified, not treated as an active score
Environmental Infrastructure: Employs Zero Liquid Discharge (ZLD) wet-processing operations, renewable energy integration, and certified organic/recycled raw material sourcing.
On-Site Renewable Infrastructure: Atlas Export Enterprises has installed its own captive solar power unit at its manufacturing facilities in Karur, Tamil Nadu.
Energy Strategy: Sourced through direct solar plant installations and wind power initiatives, helping drive their SBTi-validated net-zero emission commitments.
Effluent Treatment Plant (ETP): Indicates that 100% of industrial process wastewater generated at their dye house and processing mills undergoes full in-house treatment.
SBTi: Validated 27/11/2025: near-term Scope 1+2 and Scope 3 to 2033 from a 2023 base; net-zero by 2050. Source: https://sciencebasedtargets.org/target-dashboard</t>
  </si>
  <si>
    <t>GLOBAL MODE AND ACCESSORIES PVT. LTD.</t>
  </si>
  <si>
    <t>Certifications &amp; Standards: Holds OEKO-TEX Made in Green, OEKO-TEX STeP, SMETA/SEDEX, Higg Index (HIGG-FEM &amp; HIGG-FSLM), and OEKO-TEX Standard 100 certifications.</t>
  </si>
  <si>
    <t>Shenghong Group</t>
  </si>
  <si>
    <t>Jiangsu</t>
  </si>
  <si>
    <t>China</t>
  </si>
  <si>
    <t>Conglomerate</t>
  </si>
  <si>
    <t>GLOBAL MODE &amp; ACCESSORIES PVT LTD (C-54)</t>
  </si>
  <si>
    <t>C-54, Sec- 58, Gautam Buddha Nagar, Noida</t>
  </si>
  <si>
    <t>Accessories, Denim, Home (textile), Woven</t>
  </si>
  <si>
    <t>Recycled Claim Standard (RCS)</t>
  </si>
  <si>
    <t>Actively expanding clean energy integration; notably signed a clean electricity and nuclear steam supply cooperation agreement with Jiangsu Nuclear Power to pioneer the industrial utilization of nuclear energy-derived steam.</t>
  </si>
  <si>
    <t>Operates an integrated "oil, coal, and gas" feedstock platform where coal functions as a foundational chemical feedstock (e.g., through methanol-to-olefin / MTO processes) rather than solely for captive power combustion, with a strategic emphasis on lowering carbon intensities and circular processes</t>
  </si>
  <si>
    <t>Serves prominent domestic and international clients across downstream industrial chains, including brands like Anta Sports (co-developer of award-winning carbon-capture fibers), alongside global manufacturers in textiles, automotive interiors, and photovoltaic components.</t>
  </si>
  <si>
    <t>Purified Terephthalic Acid (PTA), Monoethylene Glycol (MEG), and captured CO2 for polyester conversion.</t>
  </si>
  <si>
    <t>Primarily sourced and manufactured in China, anchored by major production hubs such as the Lianyungang Petrochemical Industry Base (Jiangsu) and Wujiang/Suzhou textile manufacturing bases.</t>
  </si>
  <si>
    <t>Shenghong Group Sustainability report
https://www.shenghongholding.com/uploads/2026-02-26/c5098b3a-080d-4095-b89c-ec0314e88c2a1772095251447.pdf</t>
  </si>
  <si>
    <t>GLOBAL MODE &amp; ACCESSORIESPVT LT-B2</t>
  </si>
  <si>
    <t>B-2, Sector 65 Noida, Noida</t>
  </si>
  <si>
    <t>Denim, Home (textile), Jersey, Woven</t>
  </si>
  <si>
    <t>Global Organic Textile Standard (GOTS), Global Recycle Standard (GRS), Organic Content Standard (OCS)</t>
  </si>
  <si>
    <t>M/S TEAM KRIAN</t>
  </si>
  <si>
    <t>D/11-16, EPIP, Kasna, Site-5, Gautam Buddha Nagar, GREATER NOIDA</t>
  </si>
  <si>
    <t>FY2024</t>
  </si>
  <si>
    <t>SDS CLOTHING INDIA PRIVATE LIMITED</t>
  </si>
  <si>
    <t>D-346, Sector-63, Noida</t>
  </si>
  <si>
    <t>Sustainability report found in Chinese language. However, translated using AI and extracted sustainability details. 
Figures were directly taken from sustainability report.
Carbon Capture to Polyester Chain: Built the world’s first industrial chain converting carbon dioxide into polyester fibers , which won the international "Sustainable and Innovation Award" from the International Textile Manufacturers Federation (ITMF).
Clean Energy Integration: Signed a clean electricity and nuclear steam supply cooperation agreement with Jiangsu Nuclear Power, making it the industry's pioneer in receiving and utilizing nuclear energy-derived steam.
Low-Carbon &amp; Circular Brands: Was selected into Jiangsu Province’s first batch of carbon peak and carbon neutrality pilot lists and expanded its eco-friendly product lines likecarbon-capture fiber and recycled fiber brands.
2. Strategic Industrial &amp; Technological Expansions 
New Energy &amp; Materials Capacities: Successfully commissioned major projects including PETG, nitrile latex, EC/DMC, and the POSM/polyols units. Expanded photovoltaic-grade EVA capacity by an additional 200,000 tons, bringing its total capacity to 500,000 tons/year.
"1+N" Diversified Layout: Leveraged a unique integrated chemical platform featuring oil, coal, and gas feedstocks alongside dual tracks in aromatics and olefins, driving transitions toward high-end, intelligent, and low-carbon production models.
R&amp;D and Pilot Innovation: Advanced the construction of the National East-Central-West Regional Cooperation Demonstration Zone New Material Pilot Base (a "government + leading enterprise" cooperation model) designed to host up to 20 chemical pilot-scale projects simultaneously to tackle critical technological bottlenecks.
HELD FROM VERIFICATION: supplier identity is not settled - see the QA Review Register.
ENTITY UNRESOLVED AND NO INDIA NEXUS. Two candidates: Shenghong Holding Group Co., Ltd (private, publishes at shenghongholding.com) and Jiangsu Eastern Shenghong Co., Ltd (SZSE 000301, a refining and petrochemical group with a polyester segment). Both are Jiangsu-based; neither report mentions Indian operations. There is no established basis for this row sitting in an H&amp;M India supplier pack.</t>
  </si>
  <si>
    <t>Cta Apparels Pvt. Ltd.- Fabric Mill</t>
  </si>
  <si>
    <t>TEAM KRIAN (C-33)</t>
  </si>
  <si>
    <t>C/33, Sector- 57, Noida</t>
  </si>
  <si>
    <t>Uttar Pr.</t>
  </si>
  <si>
    <t>VIRAJ EXPORTS PVT LTD</t>
  </si>
  <si>
    <t>C-66, Sector-57, Noida</t>
  </si>
  <si>
    <t>ARVIND LTD - SANTEJ</t>
  </si>
  <si>
    <t>P.O.Vadsar, NR. Khatraj Cross Road, Taluka, Kalol, Gandhinagar, Gandhinagar</t>
  </si>
  <si>
    <t>Subsidiary/division of Cta Apparels Pvt Ltd - not counted separately. Reports only at parent level; unit-level figures are not separately disclosed.</t>
  </si>
  <si>
    <t>Brandix Asia Holdings Pte Ltd</t>
  </si>
  <si>
    <t>Vizag</t>
  </si>
  <si>
    <t>Andhra Pradesh</t>
  </si>
  <si>
    <t>MNC Sub.</t>
  </si>
  <si>
    <t>VARDHMAN (AURO TEXTILE -DYEING &amp; WEAVING)</t>
  </si>
  <si>
    <t>Auro Textile,, sai road baddi, SOLAN</t>
  </si>
  <si>
    <t>VARDHMAN TEXTILE LTD.</t>
  </si>
  <si>
    <t>Net-zero roadmap aligned with SBTi; 50% sustainable sourcing by 2027</t>
  </si>
  <si>
    <t>Part of net-zero environmental impact strategy</t>
  </si>
  <si>
    <t>Leading partner-brands in the global fashion industry</t>
  </si>
  <si>
    <t>BCI Cotton, Organic, CMIA, and recycled materials</t>
  </si>
  <si>
    <t>Sri Lanka, India, and Bangladesh</t>
  </si>
  <si>
    <t>Brandix ESG Report
https://brandix.com/wp-content/uploads/2025/10/Brandix-ESG-Report-24-25.pdf</t>
  </si>
  <si>
    <t>VICTUS APPAREL PRIVATE LIMITED</t>
  </si>
  <si>
    <t>TNEB sub station , SF NO 572/8,, Cholampatti Road, Thekkur Athikkadu, Sivaganga, Tamil Nadu,, Sivaganga</t>
  </si>
  <si>
    <t>Figures were directly taken from sustainability report. Scope &amp; Boundary: Covers all entities and manufacturing facilities owned and operated by the Group across Sri Lanka, India, and Bangladesh. 
Frameworks &amp; Standards: Reported in accordance with GRI Standards, with voluntary inclusions from IFRS S1 &amp; S2 standards and the SASB Apparel, Accessories &amp; Footwear Standard. External assurance was conducted by Ernst &amp; Young.
HELD FROM VERIFICATION: supplier identity is not settled - see the QA Review Register.
SCOPE MIXING - read carefully. Scope 1 (319) and Scope 2 (14,678) ARE India-specific: the ESG report country table gives India diesel 101.53 + refrigerant 217.54 = 319.07 tCO2e Scope 1, and grid electricity 14,678.74 tCO2e Scope 2. Everything else on this row is GROUP (Sri Lanka + India + Bangladesh): energy 460,866 GJ, renewable 37%, solar 18.8 MW, water 1,011,098 m3. Group Scope 1+2 is 32,010 tCO2e, not 14,997. Reporting entity is Brandix Lanka (Pvt) Ltd, not "Brandix Asia Holdings Pte Ltd".</t>
  </si>
  <si>
    <t>95% (Higg)</t>
  </si>
  <si>
    <t>VICTUS DYEINGS (GARMENT UNIT 2)</t>
  </si>
  <si>
    <t>Intimate Fashions (India) Pvt Ltd</t>
  </si>
  <si>
    <t>Kannamanaickanur Village, S.V.MILLS POST, UDUMALPET, Tiruppur</t>
  </si>
  <si>
    <t>Jersey, Socks/Tights/Micro tights</t>
  </si>
  <si>
    <t>Joint Venture</t>
  </si>
  <si>
    <t>https://tracxn.com/d/legal-entities/india/intimate-fashions-india-private-limited/__l28_7JPdJ5jZMYNGxfZ-Jv6MUq1e7Zv8mV6guamp7OQ</t>
  </si>
  <si>
    <t>VICTUS DYEINGS (PROCESSING HOUSE)</t>
  </si>
  <si>
    <t>S.F No. 53/2 D2 ChettiuraiThottam,, Karaipudur village POST, TIRUPUR</t>
  </si>
  <si>
    <t>Victus Dyeing</t>
  </si>
  <si>
    <t>Component unit, Processing unit</t>
  </si>
  <si>
    <t>VICTUS DYEINGS (UNIT-1)</t>
  </si>
  <si>
    <t xml:space="preserve"> S.F 144/A2,PALANI ROAD,, PALAPPAMPATTI, S.V. MILLS(PO),UDUMALPET, TIRUPUR</t>
  </si>
  <si>
    <t>No sustainability disclosure found; company registration confirmed via Tracxn.
One of the JV partners, MAS Holdings, is a well-known sustainability leader among South Asian apparel manufacturers (similar profile to Brandix) and may publish group-level ESG data that could cover this JV — did not find entity-specific figures for Intimate Fashions (India) itself, and did not assume MAS Holdings' group data applies here without confirmation. Worth a follow-up search specifically against MAS Holdings' own sustainability reporting. GOTS/ISO14001/Scope 1-2 not found for this entity. No BRSR filing found (private company, not required to file); no sustainability report on company site; not a CDP discloser.
1. Sustainable Products
Circular Design &amp; Materials: Emphasizes moving away from linear manufacturing by utilizing eco-friendly inputs, including recycled polyester and ethically sourced raw materials.
Innovative Manufacturing: Focuses on reducing environmental footprints through optimized resource utilization, minimization of pre-consumer waste, and leveraging advanced digital product creation processes.
2. People and Workforce ("Lives")
Ethical Working Standards: Adheres to stringent compliance measures that go above standard regional labor regulations, heavily prioritizing safe and ethical working conditions.
Employee Welfare &amp; Empowerment: Aligns with the core MAS corporate value of putting people before profit, supporting workforce growth, diversity, and localized community engagement near its facilities in Tamil Nadu, India.
3. Planet &amp; Environmental Stewardship
Carbon and Energy Management: Targets a reduction in greenhouse gas emissions and improved energy efficiency across operations.
Waste &amp; Chemical Management: Implements strict guidelines for responsible water management, chemical usage standards (such as ZDHC alignment across the group ecosystem), and minimizing landfill contributions.
Search record: BRSR report, Sustainability Disclosure, Annual Report, CDP disclosure searched via google, no sustainability disclosure found; company registration confirmed via Tracxn.
HELD FROM VERIFICATION: supplier identity is not settled - see the QA Review Register.</t>
  </si>
  <si>
    <t>SLCP Verified
SLCP stands for the Social &amp; Labor Convergence Program.
The facility has completed an accredited third-party social &amp; labor audit.H&amp;M accepts this verified report to confirm workplace safety, fair wages, working hours, and labor compliance without requiring a separate internal social audit.</t>
  </si>
  <si>
    <t>Laguna India Private Limited</t>
  </si>
  <si>
    <t>KITEX GARMENTS LIMITED</t>
  </si>
  <si>
    <t>Global Organic Textile Standard (GOTS), Global Recycle Standard (GRS), Masters of FLAX FIBRE, Organic Content Standard (OCS), Recycled Claim Standard (RCS), Responsible Wool Standard (RWS)</t>
  </si>
  <si>
    <t>Building No.VI/496, Vilangu.P.O, Chiravakkadu, Kizhakkambalam., Ernakulam</t>
  </si>
  <si>
    <t>Bangalore</t>
  </si>
  <si>
    <t>Private Limited Company</t>
  </si>
  <si>
    <t>Over 80% by 2030 (with an intermediate target of 60% by 2025)</t>
  </si>
  <si>
    <t>Achieved / Completed (coal has been completely eliminated as a fuel across operations, including the CFL mill in Mauritius and the COTONA joint venture in Madagascar)</t>
  </si>
  <si>
    <t>KITEX GARMENTS LTD</t>
  </si>
  <si>
    <t>Cotton (along with certified sustainable/organic cotton, synthetic fibers, and blended yarns)</t>
  </si>
  <si>
    <t>Sourced and processed across CIEL Textile's core operating footprint: Mauritius, Madagascar, India, and Bangladesh.</t>
  </si>
  <si>
    <t>BUILDING NO. 496, KIZHAKAMBALAM,VELANGU P.O, Ernakulam</t>
  </si>
  <si>
    <t>CIEL_Textile_Winning_Well_Altogether_report_2024.pdf
https://cieltextile.com/sites/default/files/sustainablity/CIEL_Textile_Winning_Well_Altogether_report_2024.pdf</t>
  </si>
  <si>
    <t>COTTON WORLD - HINDUPUR</t>
  </si>
  <si>
    <t>plot no.1 to 26, Sy No.3521/1B,, S. Sadalapalli,, Hindupur</t>
  </si>
  <si>
    <t>COTTON WORLD</t>
  </si>
  <si>
    <t>FY2022-23</t>
  </si>
  <si>
    <t>COTTON WORLD (UNIT 3 - 32 - WHITEFIELD)</t>
  </si>
  <si>
    <t>Laguna India is an important manufacturing unit operating under CIEL Textile's Woven cluster in India.
Laguna Clothing Private Limited (Laguna India), a joint venture of CIEL Textile and Readiness Group, integrates sustainability into its garment manufacturing operations. Rather than publishing an independent standalone corporate report, its environmental and social milestones are governed and highlighted through CIEL Textile's Sustainability Reporting
1. Community Impact &amp; Corporate Social Responsibility (CSR)
Clean Water Initiative: In partnership with Aquarelle India, Laguna India installed Reverse Osmosis (RO) water purification plants to provide safe drinking water to surrounding communities, successfully supplying clean water to 1,500 people in local villages.
2. Workforce Highlights &amp; Employee Engagement
Employee Spotlights: The report highlights individual employees from Laguna India—such as Pushpa and Snigdha—showcasing workforce diversity, inclusion, and the company's commitment to employee well-being and engagement on the shop floor.
3. Sustainability Assessments &amp; Manufacturing Footprint
Higg Index Integration: Laguna India (including the Doddaballapura unit) participates in the group's annual evaluations using Cascale's sustainability framework, specifically the Higg Facility Environmental Module (FEM) and Facility Social &amp; Labor Module (FSLM).
Baseline Impact: The integration and initial assessments of newer units like Laguna India and Aquarelle India into these global benchmarks accounted for slight adjustments in group-wide modular score averages as they underwent their first verified assessments.
Energy Carbon Intensity (tCO2e/TJ) : Not specifically scored as a single ESG rating in the report (uses Higg Index: FEM 87.6 FSLM 92.6</t>
  </si>
  <si>
    <t>No 65/2B, Muneshwara Circle, Near Sea College, Ayyappa Nagar, K R Puram, Bangalore</t>
  </si>
  <si>
    <t>Key Highlights of Laguna's LEED Platinum UnitsFacilities Certified:Dodballapur Unit (Bengaluru): Awarded LEED v4.1 Platinum rating under Existing Buildings: Operations and Maintenance.Kanakapura (KPR) Unit (Bengaluru): Achieved LEED v4.1 Platinum certification scoring 84/100 points.Environmental &amp; Operational Performance Metrics:Energy Efficiency: Installed 425 kW captive rooftop solar PV systems, lowering energy consumption by over 60% with naturally ventilated, low-LPD LED facilities.Water Management: Zero-discharge site operations achieving over 40% potable water savings via 100% tertiary-treated wastewater reuse and rainwater harvesting.Zero Waste to Landfill: Directs 100% of post-industrial fabric scraps (chindi) and waste to third-party recycling streams.</t>
  </si>
  <si>
    <t>Dileep Crafts Private Limited</t>
  </si>
  <si>
    <t>Forest Stewardship Council Chain of Custody (FSC COC)</t>
  </si>
  <si>
    <t>Home (hardgoods)</t>
  </si>
  <si>
    <t>Jaipur</t>
  </si>
  <si>
    <t>Rajasthan</t>
  </si>
  <si>
    <t>COTTON WORLD (UNIT 5 )</t>
  </si>
  <si>
    <t>NO. 40/B/1,, KHB  INDUSTRIAL AREA,, YELAHANKA INDUSTRAIL ESTATE,, Bangalore</t>
  </si>
  <si>
    <t>Biomass</t>
  </si>
  <si>
    <t>Biomass fuel replacements</t>
  </si>
  <si>
    <t>Anthropologie</t>
  </si>
  <si>
    <t>Stone, sustainable timber, eco-mix</t>
  </si>
  <si>
    <t>Jaipur, Rajasthan</t>
  </si>
  <si>
    <t>https://tracxn.com/d/legal-entities/india/dileep-art-and-crafts-private-limited/__HrZ3p_njt0W5cAw4UEKsH0PeXx_V8VlqdFLT5ABW0lM</t>
  </si>
  <si>
    <t>COTTON WORLD UNIT - 2</t>
  </si>
  <si>
    <t>PLOT NO 48/4 AND 9 KARIHOBANAHALLI, Peenya 2nd Stage, BANGALORE NORTH TALUK, Bengaluru</t>
  </si>
  <si>
    <t>COTTON WORLD UNIT 6</t>
  </si>
  <si>
    <t>KIADB Plot No.S-3,1st Phase Main, Road, Apparel Park, Doddaballapur, Bangalore</t>
  </si>
  <si>
    <t>The current sources lack audited ESG metrics. These firms are largely associated with private regional clusters whose detailed reports are not present. No sustainability disclosure found; company registration confirmed via Tracxn.
No BRSR filing found (private company, not required to file); no sustainability report on company site; not a CDP discloser.
Sustainable Material Innovation: Known for pioneering Ecomix (utilizing recycled paper-mache and eco-resins) alongside sustainably harvested timber.
Certifications &amp; Standards: Operates under strict compliance guidelines matching FSC (Forest Stewardship Council) standards for wood sourcing and ISO 9001 quality frameworks.   
Global Compliance: Supplies major international retail brands (including H&amp;M, Pottery Barn, and Zara Home), ensuring adherence to ethical manufacturing, non-hazardous finish coatings, and safe food-grade standards.
Grid-Tied: Indicates that the manufacturing and artisan processing facilities in Jaipur utilize utility-connected solar photovoltaic systems. This allows them to balance onsite renewable electricity generation with the public grid, ensuring stable power for workshops while minimizing reliance on fossil-fuel-generated power.
Recovered: Tracks the company's internal waste management and circularity measures—specifically capturing post-industrial wood scraps, clay/ceramic dust, or water used in processing and finishing lines to prevent landfill waste and maximize resource efficiency.
Eco-Mix: Represents Dileep Crafts' signature proprietary material composite blends (often featuring recycled paper-mache, organic plant fibers, and eco-resins). Used extensively in crafting lightweight, sustainable home accessories and decorative vases as an eco-friendly alternative to virgin plastics and energy-intensive synthetic resins.
47.74 tCO2e/TJ (Calculated from total Scope 1 + 2 emissions of 51,909 t divided by total energy of 1,087 TJ)
Search record: BRSR report, Sustainability Disclosure, Annual Report, CDP disclosure searched via google, no sustainability disclosure found; company registration confirmed via Tracxn.</t>
  </si>
  <si>
    <t>HI LOOK KNIT PRINTER</t>
  </si>
  <si>
    <t>Phi Capital Inv
Phi Capital incorporates structured Environmental, Social, and Governance (ESG) frameworks—benchmarked against IFC Performance Standards and International Labour Organization (ILO) conventions—into its portfolio management and oversight.</t>
  </si>
  <si>
    <t>SF No: 222, Prema Garden, Kunnakal Palayam, Karaipudur, Palladam Taluk, Tiruppur</t>
  </si>
  <si>
    <t>LE-SHARK GLOBAL LLP</t>
  </si>
  <si>
    <t>Radiaant Expovision Pvt. Ltd.</t>
  </si>
  <si>
    <t>LE SHARK GLOBAL LLP - UNIT 1</t>
  </si>
  <si>
    <t>SF.No: 245/1, Karaipudur Village, Opp: Park School, Chinnakarai, TIRUPUR</t>
  </si>
  <si>
    <t>Replace fossil fuel-based energy with renewable energy by 50% of intensity (per sq. ft.) by FY2026-27.</t>
  </si>
  <si>
    <t>Focus on replacing fossil fuel-based energy in stores; retail operations do not use industrial coal stacks.</t>
  </si>
  <si>
    <t>EU/US Retail</t>
  </si>
  <si>
    <t>Apparel</t>
  </si>
  <si>
    <t>https://radiaantexpovision.in/sustainability/</t>
  </si>
  <si>
    <t>LE SHARK GLOBAL LLP - UNIT 2</t>
  </si>
  <si>
    <t>SF NO. 8/564, Segampalayam Road, Uppilipalayam, Arulpuram (Post), Palladam Taluk, TIRUPUR</t>
  </si>
  <si>
    <t>K H EXPORTS INDIA PRIVATE LIMITED - TANNERY 'A' DIVISION</t>
  </si>
  <si>
    <t>No. 117, M.B.T.Road, Ranipet, Vellore</t>
  </si>
  <si>
    <t>No BRSR filing found (private company, not required to file); no sustainability report on company site; not a CDP discloser.
Product Safety &amp; Material Integrity Certifications
OEKO-TEX Standard 100: Tests textiles for harmful substances.
GOTS (Global Organic Textile Standard): Verifies organic status from harvesting to labeling.
GRS (Global Recycled Standard): Tracks and verifies recycled content.
Better Cotton: Promotes measurable improvements for cotton farmers and the environment.
European Flax: Certifies premium quality, traceable European flax fiber.
Chemical Management &amp; Environmental Accounting
ZDHC (Zero Discharge of Hazardous Chemicals): Principles for responsible chemical management.
Higg Index: Measures environmental performance and footprint.
CDP: Climate disclosures for environmental transparency.
Science Based Targets (SBTi): Framework for emissions reduction pathways.
RESET Carbon: Carbon accounting and advisory services.
Supply-Chain Transparency &amp; Social Responsibility
Sedex: Transparent supply-chain assessments and ethical data sharing.
SCAN (Supplier Compliance Audit Network): Supply chain security audits.
SLCP (Social &amp; Labor Convergence Program): Reinforces social responsibility and worker welfare.
C-TPAT (Customs-Trade Partnership Against Terrorism): Validates supply-chain security.
SBTi: Both near-term and net-zero commitments removed. The company website still references science-based target alignment. Source: https://sciencebasedtargets.org/target-dashboard</t>
  </si>
  <si>
    <t>Stonemen Crafts India Private Ltd</t>
  </si>
  <si>
    <t>Forest Stewardship Council Chain of Custody (FSC COC), Global Recycle Standard (GRS), Recycled Claim Standard (RCS)</t>
  </si>
  <si>
    <t>Accessories, Home (hardgoods)</t>
  </si>
  <si>
    <t>Agra</t>
  </si>
  <si>
    <t>K H EXPORTS INDIA PVT. LTD (FOOTWEA</t>
  </si>
  <si>
    <t>10/8, BYE PASS ROAD, RANIPET., TAMIL NADU, CHENNAI</t>
  </si>
  <si>
    <t>Footwear,Bag&amp;Belt</t>
  </si>
  <si>
    <t>Williams Sonoma Singapore Pte Ltd, Target Stores Pvt Ltd, Euro-market Designs Inc.</t>
  </si>
  <si>
    <t>Natural Stones (primarily Marble, Alabaster, Granite, Sandstone, Slate, and Soapstone), combined with secondary materials like wood, metal, and resin</t>
  </si>
  <si>
    <t>Agra, UP</t>
  </si>
  <si>
    <t>KH EXPORTS INDIA PVT. LTD. - GLOVES</t>
  </si>
  <si>
    <t>142/1, Chennai Krishnagiri, National Highway (Trunk Road), Perumugai,, Vellore</t>
  </si>
  <si>
    <t>Accessories</t>
  </si>
  <si>
    <t>No BRSR filing found (private company, not required to file); no sustainability report on company site; not a CDP discloser.
Lack of Standalone Sustainability Report: Stonemen Crafts India Private Limited does not publish a standalone or public corporate sustainability report.
Environmental Approvals &amp; Compliance: The company maintains a valid Consent to Operate (CCA) certification under state pollution control regulations through the Uttar Pradesh Pollution Control Board. This certification covers environmental compliance for its manufacturing operations through March 31, 2026.
Waste Management: The company partners with certified external agencies for the safe handling, recycling, and disposal of industrial waste.
Quality &amp; Safety Systems: Production lines incorporate Quality Management Systems (QMS) and relevant chemical safety protocols for hardgoods and home decor items.
Formally committed to obtaining SBT Net-Zero certification within 24 months. No BRSR filing found (private company, not required to file); no sustainability report on company site; not a CDP discloser.
SBTi: Validated 28/11/2024: absolute Scope 1+2 -85.9% by 2032 from a 2022 base; renewable electricity from 8.8% (2022) to 100% by 2030. Source: https://sciencebasedtargets.org/target-dashboard</t>
  </si>
  <si>
    <t>Network Clothing Company Pvt. Ltd.</t>
  </si>
  <si>
    <t>NETWORK CLOTHING COMPANY PVT LTD; NETWORK CLOTHING COMPANY PVT. LTD.</t>
  </si>
  <si>
    <t>ATLAS EXPORT ENTERPRISES</t>
  </si>
  <si>
    <t>Plot # 9 , A3&amp;A4 &amp;A5, Karur Textile Park,, Thalapatti PO, karur</t>
  </si>
  <si>
    <t>Targeted the installation of Solar and Bio-gas plants by the end of 2016 (Action Plan).</t>
  </si>
  <si>
    <t>Committed to a six-area environmental action plan including air quality and energy.</t>
  </si>
  <si>
    <t>Global Brands</t>
  </si>
  <si>
    <t>Organic Cotton</t>
  </si>
  <si>
    <t>ATLAS PROCESSING MILLS</t>
  </si>
  <si>
    <t>https://nccindia.com/#sustainability</t>
  </si>
  <si>
    <t>1/168 Siva sakthi nagar, Periyandan kovil, karur, karur</t>
  </si>
  <si>
    <t>ARVIND LIMITED (BOMMASANDRA UNIT)</t>
  </si>
  <si>
    <t>No. 12, 4th Cross, Bommasandra Industrial Area,, Hosur Road, Bangalore</t>
  </si>
  <si>
    <t>Solar Capacity / Energy: Wind Captive / Clean energy usage noted in tracker.
Water Management: Zero Liquid Discharge (ZLD) site with high water recovery standards.
Waste Management: Active fabric and waste Upcycling initiatives noted.Reporting is driven by organic cotton certifications and Tier 1 procurement transparency for the French Government. No BRSR filing found (private company, not required to file); no sustainability report on company site; not a CDP discloser.
Water Management: Achieves 93% recycled water usage, supported by its processing unit operating as a Zero Liquid Discharge facility since 2001.
Energy &amp; Power: Utilizes 98% renewable energy across operations and is 100% coal-free.
Materials &amp; Chemistry: Uses 100% ZDHC MRSL-compliant dyes to ensure chemical safety and responsible manufacturing.
Performance Assessment: Reached a score of 63% in the Higg FEM Verified Assessment, outperforming the global average score of 48.08%.
ISO 9001:2000: Robust quality systems ensuring overall product quality and standardized manufacturing processes.   
Oeko-Tex Standards: Benchmarks applied for product quality and consumer safety.   
ZDHC MRSL Compliance: Uses 100% Zero Discharge of Hazardous Chemicals Manufacturing Restricted Substances List-compliant dyes.
Higg FEM Verified Assessment: Scores 63%, well above the global average score of 48.08%.
Zero Liquid Discharge (ZLD): Certified and operated through its dedicated processing unit (NCC Spectra) established to eliminate wastewater discharge.   
Other Industry Standards &amp; Partner Certifications: Often associated with standards like GOTS (on request), WRAP, and OEKO-TEX Standard 100 across its partner and production ecosystems.
Network Clothing publishes 98% renewable energy, 93% recycled water and a Higg FEM score of 63 as animated counters. The figures do not render on the live page and carry no reporting year, no boundary, and no statement of whether "renewable" means electricity or total energy. Recorded as unverified company claims and deliberately NOT entered in the columns.</t>
  </si>
  <si>
    <t>CTA APPARELS (UNIT C-32)</t>
  </si>
  <si>
    <t>Higg FEM
Higg (specifically Higg FEM - Facility Environmental Module):
Focus: Environmental impact.
What it measures: Energy use, greenhouse gas (GHG) emissions, water consumption, wastewater, air emissions, waste management, and chemical management.
How it works: Facilities complete a standardized assessment to measure and quantify their environmental performance year-over-year.</t>
  </si>
  <si>
    <t>C-32, SECTOR-58, PHASE III, Gautam Buddh Nagar, Noida</t>
  </si>
  <si>
    <t>Asian Fabricx Private Limited</t>
  </si>
  <si>
    <t>CTA APPARELS PVT LTD</t>
  </si>
  <si>
    <t>Implementation of ISO 50001 energy management systems.</t>
  </si>
  <si>
    <t>Complies with local cluster environmental regulations.</t>
  </si>
  <si>
    <t>IKEA</t>
  </si>
  <si>
    <t>Home Furnishings</t>
  </si>
  <si>
    <t>CTA APPARELS (UNIT D-235)</t>
  </si>
  <si>
    <t>https://www.asianfab.com/we_are_responsible.html</t>
  </si>
  <si>
    <t>D-235, Sector 63,, Gautam Buddh Nagar, Noida</t>
  </si>
  <si>
    <t>Recognized as an SBTi-committed entity working toward a 1.5°C-aligned Net-Zero roadmap. 
Water Recovery: Highlighted at 95% Recov. (Water recycling &amp; recovery standards).
Waste Management: Highlighted at 80% Sludge (Sludge reduction/management metrics).
No BRSR filing found (private company, not required to file); no sustainability report on company site; not a CDP discloser.
Windmills and Solar for Energy conservation and contributing to sustainable development
SBTi: Both commitments removed from the register. Source: https://sciencebasedtargets.org/target-dashboard</t>
  </si>
  <si>
    <t>Texprocil Silv 
It refers to the TEXPROCIL Silver Award (or Silver Recognition) awarded by The Cotton Textiles Export Promotion Council of India for export performance/sustainability standards in cotton textiles.</t>
  </si>
  <si>
    <t>Raj Overseas</t>
  </si>
  <si>
    <t>Accessories, Home (textile)</t>
  </si>
  <si>
    <t>Panipat</t>
  </si>
  <si>
    <t>Unlisted Private</t>
  </si>
  <si>
    <t>Engaged in the Lindex Climate Roadmap which identified potential for 20-30% emission reductions.</t>
  </si>
  <si>
    <t>Focus on social sustainability and women's empowerment via Project Sehat and Mukta.</t>
  </si>
  <si>
    <t>Wool, Cotton, Jute</t>
  </si>
  <si>
    <t>Panipat, Haryana</t>
  </si>
  <si>
    <t xml:space="preserve">
https://rajgroup.in/csr-sustainability/
</t>
  </si>
  <si>
    <t>CTA APPARELS PVT LTD (C-32, 59)</t>
  </si>
  <si>
    <t>C-32, Sector 59, Noida</t>
  </si>
  <si>
    <t>BRANDIX INTIMATE INDIA PRIVATE LTD</t>
  </si>
  <si>
    <t>Plot No:11 BIAC, APSEZ, Pudimadaka Road Atchuthapuram, Visakhapatnam, Visakhapatnam</t>
  </si>
  <si>
    <t>BRANDIX ASIA HOLDINGS PTE LTD</t>
  </si>
  <si>
    <t xml:space="preserve">No BRSR filing found (private company, not required to file); no sustainability report on company site; not a CDP discloser.
Renewable Energy &amp; Environmental StewardshipClean Energy: Captive solar and wind power installations across Haryana, Rajasthan, and Maharashtra.Eco-Materials &amp; Zero Waste: Focuses on natural fiber processing, REACH-certified non-toxic dyes, and circular recycling certifications (GRS / Global Recycled Standard, OEKO-TEX, GOTS).
Water Targets: Targeted -25% Water Footprint reduction
Waste Targets: Targeted -50% Waste Generation reduction
</t>
  </si>
  <si>
    <t>94% (FEM)</t>
  </si>
  <si>
    <t>Dileep Potteries Pvt Ltd</t>
  </si>
  <si>
    <t>Subsidiary</t>
  </si>
  <si>
    <t>INTIMATE FASHIONS INDIA PVT LTD</t>
  </si>
  <si>
    <t>No.518-520, Thiruporur Kottamedu High Road, Nandhivaram Village Guduvanchery, CHENNAI</t>
  </si>
  <si>
    <t>Zara, H&amp;M</t>
  </si>
  <si>
    <t>Handcrafted stoneware/ceramics</t>
  </si>
  <si>
    <t>Jaipur and Karnataka</t>
  </si>
  <si>
    <t>https://tracxn.com/d/legal-entities/india/dileep-potteries-private-limited/__JBGP4Wlg5p9hT-bkw7FYzXxiZWUMjCe_9_9K2shQL3A</t>
  </si>
  <si>
    <t>LAGUNA INDIA PRIVATE LIMITED</t>
  </si>
  <si>
    <t>SW 49/50 KIADB apparel park, Arehalli Guddadahalli, Bengaluru</t>
  </si>
  <si>
    <t>PARAMOUNT PRODUCTS PRIVATE LIMITED - UNIT E 16</t>
  </si>
  <si>
    <t>E-16, SECTOR-63, NOIDA, Noida</t>
  </si>
  <si>
    <t>PARAMOUNT PRODUCTS PVT LTD</t>
  </si>
  <si>
    <t>Paramount Products Pvt Ltd</t>
  </si>
  <si>
    <t>PARAMOUNT PRODUCTS PRIVATE LIMITED - UNIT E 3</t>
  </si>
  <si>
    <t>E 3 Sector 63, Noida, Noida</t>
  </si>
  <si>
    <t>PARAMOUNT PRODUCTS PVT. LTD.</t>
  </si>
  <si>
    <t>A-226, Sector-83, Gautam Buddh Nagar, Gautam Buddha Nagar</t>
  </si>
  <si>
    <t>No sustainability disclosure found; company registration confirmed via Tracxn.
The current sources lack audited ESG metrics. These firms are largely associated with private regional clusters whose detailed reports are not present. No BRSR filing found (private company, not required to file); no sustainability report on company site; not a CDP discloser.
Search record: BRSR report, Sustainability Disclosure, Annual Report, CDP disclosure searched via google, no sustainability disclosure found; company registration confirmed via Tracxn, Justdial.</t>
  </si>
  <si>
    <t>Pottery Barn Std
It refers to compliance and social/environmental audit standards specified by Pottery Barn (part of parent company Williams-Sonoma, Inc.).Audit Overview: Williams-Sonoma / Pottery Barn requires suppliers to comply with their strict Vendor Code of Conduct, which covers labor practices, human rights, health and safety, and environmental protection. They issue audit performance grades (typically from A to D) or accept verified third-party equivalency reports</t>
  </si>
  <si>
    <t>RADIAANT EXPOVISION PVT LTD (A-70)</t>
  </si>
  <si>
    <t>A-70, SECTOR-64.</t>
  </si>
  <si>
    <t>Tata International Limited</t>
  </si>
  <si>
    <t>Tata International; Tata International Limited</t>
  </si>
  <si>
    <t>Bag&amp;Belt, Footwear</t>
  </si>
  <si>
    <t>RADIAANT EXPOVISION PVT. LTD.</t>
  </si>
  <si>
    <t>Plot No. D-207.Sector-63</t>
  </si>
  <si>
    <t>Public Limited Company (Subsidiary / Part of the Tata Group)</t>
  </si>
  <si>
    <t>Achieved / Phased Out</t>
  </si>
  <si>
    <t>Tata International supplies footwear products to H&amp;M. Tata International supplies leather products and footwear to several international brands and retailers, with H&amp;M featuring prominently alongside other global names like Zara, Marks &amp; Spencer, Clarks, and Timberland. These products are manufactured primarily through Tata International's specialized facilities in Tamil Nadu, India (such as Walajapet, Ranipet, and Ambur).</t>
  </si>
  <si>
    <t>Leather</t>
  </si>
  <si>
    <t>Primarily concentrated in India (Tamil Nadu facilities at Walajapet, Ranipet, and Ambur, alongside units in Dewas and Chennai)</t>
  </si>
  <si>
    <t>Tata International_AR 2024-25_ESG Report_2024-25
https://www.tatainternational.com/wp-content/uploads/pdf/Tata%20International_AR%202024-25_ESG%20Report_Inside.pdf</t>
  </si>
  <si>
    <t>STONEMEN CRAFTS INDIA PRIVATE LIMITED (AGRA)</t>
  </si>
  <si>
    <t>Khasra No. 396, 397 &amp; 410, Village, Mangura, Dakshin Byepass Road, Agra</t>
  </si>
  <si>
    <t>STONEMEN CRAFTS INDIA PRIVATE LTD</t>
  </si>
  <si>
    <t>Global Recycle Standard (GRS), Recycled Claim Standard (RCS)</t>
  </si>
  <si>
    <t>A 24-25, EPIP, UPSIDC Industrial Area, SHASTRIPURAM, Agra</t>
  </si>
  <si>
    <t>NETWORK CLOTHING COMPANY P LTD UNIT V</t>
  </si>
  <si>
    <t>SF 90 ,D.No2/642 A, Mangalam Road,, ANDIPALAYAM (PO), TIRUPUR</t>
  </si>
  <si>
    <t>NETWORK CLOTHING COMPANY PVT. LTD.</t>
  </si>
  <si>
    <t>Tata International Limited is a large, multi-industry GLOBAL trading company (metals, agri, auto distribution, leather, minerals) operating in countries across globe.
1. Environment &amp; Circular Economy
Muda-Phoenix Initiative: Focuses on waste minimization, material reuse, and resource optimization. It uses patented technologies to recover protein hydrolysate from shaving dust and convert leather waste into syntans.
2. Renewable Energy &amp; Emission Reductions: Accelerated transition to renewable energy sources such as solar power and biogas sourced from municipal waste, alongside phasing out coal usage. 10% of electricity consumption was met through rooftop solar panels on manufacturing plants.
3. Water Stewardship: Implemented Zero Liquid Discharge (ZLD) systems across operations, rainwater harvesting, and Sewage Treatment Plants (STPs) to ensure no liquid effluent is released into the environment and freshwater usage is minimized.
4. Ferrous Scrap Trading: Handled 400 KMT of scrap through collection terminals in Amsterdam and Klaipeda to promote secondary raw materials and reduce the carbon intensity of primary steel production.
FY2024-25. Renewable: 10% of electricity consumption met by solar (electricity basis - no energy-basis figure is published). Total energy is disclosed as 21,919,697 kWh; the column carries the TJ conversion. The ESG Scorecard labels 20,612 tCO2e as "Scope 1 &amp; 2 Emissions Intensity", but tCO2e is an absolute unit - the source label is internally inconsistent.</t>
  </si>
  <si>
    <t>NETWORK CLOTHING COMPANY P LTD, UNIT I</t>
  </si>
  <si>
    <t>D No 2/642, Mangalam Road,, ANDIPALAYAM (PO), TIRUPUR</t>
  </si>
  <si>
    <t>Premier Fine Linens Pvt Ltd</t>
  </si>
  <si>
    <t>Coimbatore</t>
  </si>
  <si>
    <t>NETWORK CLOTHING COMPANY PVT LTD</t>
  </si>
  <si>
    <t>P.NO: H-14, TH CROSS CC ROAD,SIPCOT, Perundurai</t>
  </si>
  <si>
    <t>Focus on family-friendly policies and social accountability since 2020.</t>
  </si>
  <si>
    <t>M&amp;S</t>
  </si>
  <si>
    <t>Cotton &amp; Blends</t>
  </si>
  <si>
    <t>Coimbatore, Tamil Nadu</t>
  </si>
  <si>
    <t>https://www.premierfinelinens.com/sustainability.html</t>
  </si>
  <si>
    <t>NETWORKING CLOTHING COMPANY UNIT-II</t>
  </si>
  <si>
    <t>D.No 2/642 A (5), MANGALAM ROAD, ANDIPALAYAM (PO), TIRUPUR</t>
  </si>
  <si>
    <t>ASIAN FABRIC PRIVATE LIMITED UNIT 7</t>
  </si>
  <si>
    <t>SURVEY NO 727/1,2A,2B,3A,3B,4A,4B, RAMESWARAPATTI ROAD, MANMANGALAM,KARUR, karur</t>
  </si>
  <si>
    <t>ASIAN FABRICX PRIVATE LIMITED</t>
  </si>
  <si>
    <t>ASIAN FABRICX PRIVATE LTD UNIT 3</t>
  </si>
  <si>
    <t>SF NO. 254/1&amp;2,255 &amp; 258/1&amp;2, 259/2, CHETTIPALAYAM ROAD, Puthu nagar, KARUPPAMPALAYAM (P.O).Karur, karur</t>
  </si>
  <si>
    <t>VKS TEXTILES</t>
  </si>
  <si>
    <t>2/183, SALEM BYEPASS ROAD, OPP.VKS KATHIRVEL MAHAL, KOMARAPALAYAM, NAMAKKAL</t>
  </si>
  <si>
    <t>No BRSR filing found (private company, not required to file); no sustainability report on company site; not a CDP discloser.
99%+ Water Recycling: Factories are equipped with modern effluent treatment plants that enable almost 99% of water to be reused.
70%+ Renewable Energy: Over 70% of the green energy utilized across factories is powered by windmills.
1,000,000 sq. ft. Rainwater Harvesting: Extensive infrastructure covers one million square feet dedicated to rainwater harvesting.
90%+ Reduced Heat Emission: Modern techniques have successfully reduced heat emissions to the atmosphere by more than 90%.
50%+ Heat Recovery System: Advanced technology is used to achieve over 50% heat recovery in operations.
99%+ Sustainable Fibers: Over 99% of production relies on natural and sustainable fibers.
Waste Management &amp; Bio Gas: Bio gas plants and established waste management systems are active in all factories to decompose industrial waste in eco-friendly ways.
Employee Transportation: Employees are encouraged to carpool or use company-provided transport to help minimize pollution.
Clean Energy Sourcing: Premier Fine Linens powers its manufacturing facilities using captive wind mills / wind farms
Recovery Rate: Over 99% of process wastewater is treated and recycled back into operations, significantly reducing fresh water intake.
Renewable energy: the company website claims "over 70% renewable energy" but the same page also uses 70% to mean the windmill share of green energy. Undated, no denominator, no reporting period. Recorded as a claim, not entered as a figure.</t>
  </si>
  <si>
    <t>SAP Integrated</t>
  </si>
  <si>
    <t>Fiabila India Pvt Ltd</t>
  </si>
  <si>
    <t>RAJ OVERSEAS UNIT NO 2 (PLOT #300)</t>
  </si>
  <si>
    <t>Plot no 300, Sec 29, Part 2, Huda, Panipat</t>
  </si>
  <si>
    <t>Beauty</t>
  </si>
  <si>
    <t>Taloja</t>
  </si>
  <si>
    <t>RAJ OVERSEAS UNIT NO 3</t>
  </si>
  <si>
    <t>Plot No 303, Sector 29, Part-1 , HUDA, Panipat</t>
  </si>
  <si>
    <t>Zara Home</t>
  </si>
  <si>
    <t>Natural clay HNTs, green solvents</t>
  </si>
  <si>
    <t>Taloja, Maharashtra</t>
  </si>
  <si>
    <t>https://www.fiabila.net/wp-content/uploads/2023/01/CSR-REPORT-2023.pdf</t>
  </si>
  <si>
    <t>RAJ OVERSEAS UNIT-1</t>
  </si>
  <si>
    <t>PLOT#11-12, SECTOR-25,, Part I, HUDA, Panipat</t>
  </si>
  <si>
    <t>RAJ WOOLLEN INDUSTRIES</t>
  </si>
  <si>
    <t>E-2,, Old Industrial Area, Panipat</t>
  </si>
  <si>
    <t>YATI OVERSEAS PVT. LTD.</t>
  </si>
  <si>
    <t>Plot No. E-52, Industrial Area, Panipat, Panipat</t>
  </si>
  <si>
    <t>KALAVATHI KNIT FASHIONS</t>
  </si>
  <si>
    <t>645/1B, Kulathupalayam,, Opp. To Dhanalakshmi Exports,, Palladam Road, TIRUPUR</t>
  </si>
  <si>
    <t>SHAKTHI KNITTING PRIVATE LIMITED</t>
  </si>
  <si>
    <t>Shakthi Knitting Private Limited</t>
  </si>
  <si>
    <t>SHAKTHI KNITTING PRIVATE LIMITED (FLAMINGO)</t>
  </si>
  <si>
    <t>Door no 253, Lakshmi Estate, Puddukottai Road, TANJORE</t>
  </si>
  <si>
    <t>A major nail polish/lacquer manufacturer. The current sources lack audited ESG metrics. These firms are largely associated with private regional clusters whose detailed reports are not present. 
The parent group publishes consolidated environmental and corporate social responsibility updates, such as the CSR Report 2023, rather than issuing a separate standalone local report for the Indian entity.
Certifications &amp; Ratings
EcoVadis: Awarded the highest sustainability rating—the Platinum Medal—for the third consecutive year in 2022, placing Fiabila among the top 1% of assessed companies in its industry.
SMETA 4P Audits: Audited annually on-site by an independent organization across all French sites to meet the SMETA 4P standard (covering ethical, social, environmental, and responsible purchasing) with results published on the SEDEX platform.
UN Global Compact: A member of the United Nations Global Compact program since 2020, publishing annual progress reports on CSR.
Environmental Policies &amp; Lowering Impact
Solvent &amp; Emission Controls: Maintenon (France) and Linden (USA) production sites are equipped with Regenerative Thermal Oxidizers (RTOs) monitored by Continuous Emissions Monitoring Systems (CEMS) to minimize Volatile Organic Compounds (VOCs) and solvent emissions. The Maintenon site reduces releases to half the limits required by French regulations.
Waste Reduction &amp; Recycling:
Installed 16 storage tanks (450-ton total capacity) in 2015, eliminating 5,000 drums per year.
Recycles more than half of dirty solvents on-site for cleaning manufacturing tanks.
100% of wastewater is treated and 100% of hazardous waste is recycled by local partners.
Overall, more than 83% of total waste produced was recycled or reused in 2021.
Paper, cardboard, and plastic pallet films are segregated internally for 100% recycling.
Energy Audits: Regularly conducts energy audits at the Maintenon site via accredited firms (last conducted in 2021).
Industrial Safety: Strict hazard controls, sprinkler systems installed across historical and international sites (Maintenon since 2008, Brazil since 2017, USA since 2018), and a storm basin for fire water containment.
Sustainable Sourcing &amp; Raw Materials
Supplier Standards: Evaluates suppliers using high standards, requiring ISO 22716 certification, ECOVADIS environmental and ethical certification, and certificates of conformity for all cosmetic raw materials.
Compliance Frameworks:
REACH: Complies with REACH for all raw materials purchased.
RSPO (Roundtable on Sustainable Palm Oil): Promotes and encourages suppliers to use sustainable palm oil and derivatives.
CITES: Ensures all protected raw materials adhere to Washington Convention rules.
Conflict Minerals: Does not purchase mineral ingredients from conflict zones.
RMI (Responsible Mica Initiative): Favors Mica pearl sourcing from suppliers adhering to the RMI.
Bio-Sourced Innovations: Since 2010, has marketed formulas containing a majority of bio-sourced raw materials of renewable origins, with some nail polish formulas consisting of over 85% bio-sourced raw materials.
Banned Materials: Early pioneer in banning raw materials affecting health or the environment (e.g., formaldehyde resin-free in 1997; camphor, DBP, and toluene-free in 2001; formaldehyde-free nail hardeners in 2001; global toluene ban across all products in 2008).
Animal Protection
Animal testing for cosmetic products has been banned since 2004, and for raw materials since 2014.
Enforces strict non-animal testing policies across all suppliers and supports brand certifications such as Cruelty Free International (CFI).
Search record: No sustainability disclosure found; company registration confirmed via company's web page.
Parent group (Fiabila, France; 7 subsidiaries) publishes a CSR report with EcoVadis PLATINUM, top 1% of assessed companies (2022, third consecutive year), and 83% of total waste recycled or reused (2021). GROUP-level - the report names the Indian site only in relation to filling machines and gives no India-entity environmental figure, so nothing is entered in the columns. Source: https://www.fiabila.net/wp-content/uploads/2023/01/CSR-REPORT-2023.pdf. Note the registered office is Taloja, Maharashtra (U24222MH1995PTC086610).</t>
  </si>
  <si>
    <t>MoCRA Compl.
Meaning: It stands for MoCRA Compliant (Modernization of Cosmetics Regulation Act compliance).Regulation Overview: MoCRA is a U.S. FDA regulatory framework passed to ensure the safety and compliance of cosmetic products and ingredients distributed in the United States.</t>
  </si>
  <si>
    <t>Gupta H.C. Overseas (I) Pvt Ltd.</t>
  </si>
  <si>
    <t>SHAKTHI KNITTING PRIVATE LIMITED (SPRINGFIELDS)</t>
  </si>
  <si>
    <t>Door No 26/13, Near Krishna Theatre, Cumbum Road,, Theni Taluk</t>
  </si>
  <si>
    <t>CALSEA FOOTWEAR PRIVATE LIMITED WALAJA  UNIT</t>
  </si>
  <si>
    <t>95/1 Poondi Road Vaniyan Chathiram, Sumaithangi Post (Via) Kaveripakkam, Walaja Tk. Ranipet, Ranipet</t>
  </si>
  <si>
    <t>Luxury brands</t>
  </si>
  <si>
    <t>High-fashion leather</t>
  </si>
  <si>
    <t>Agra / Intl</t>
  </si>
  <si>
    <t>https://www.guptaoverseas.com/golife/</t>
  </si>
  <si>
    <t>CALSEA FOOTWEAR PRIVATE LIMITED, UNIT LD-A.</t>
  </si>
  <si>
    <t xml:space="preserve"> Unit A-163-168, Unit B 165/1,2part, GUDIYATAM ROAD, PERIAVARIKKAM, THUTHIPET POST,, Ambur</t>
  </si>
  <si>
    <t>Tata International</t>
  </si>
  <si>
    <t>PREMIER FINE LINENS PVT LTD</t>
  </si>
  <si>
    <t>Plot No. 3/143,Karuppampalayam Post.Naickenpalayam Village,</t>
  </si>
  <si>
    <t>PREMIER FINE LINENS PVT LTD (PROCESSING HOUSE)</t>
  </si>
  <si>
    <t>SF#03.SIPCOT Industrial Growth Center</t>
  </si>
  <si>
    <t>ARVIND LIMITED- DENIM</t>
  </si>
  <si>
    <t>No BRSR filing found (private company, not required to file); no latest sustainability report on company site; not a CDP discloser.
Solar capacity figure inconsistent across sources (250kW in 2021 vs 350kW on the company's current site). Hence we are considering 350 kW, as it is disclosed through company website.  LWG-certified leather sourcing and GRS/BCI-certified inputs are real and specific but are supply-chain-input certifications, not the company's own GOTS/ISO14001 status. No Scope 1/2, absolute energy, or water figures found. 
Gupta H.C. Overseas (I) Pvt. Ltd. follows sustainability and eco-friendly practices under its GOlife
Solar: 350 kW solar power plant across all units, stated as saving 380 tonnes CO2 a year. Source states kW; the peak (kWp/MWp) designation is not disclosed. Confirmed genuine for this company - the identical 0.35 figure on Neokraft Global is the one to re-check.</t>
  </si>
  <si>
    <t>railwaypura post,, near chamunda bridge, Naroda Road,, Ahmadabad, Gujarat, Ahmadabad</t>
  </si>
  <si>
    <t>Higg Index</t>
  </si>
  <si>
    <t>Marque Impex Pvt. Ltd.</t>
  </si>
  <si>
    <t>Private Limited</t>
  </si>
  <si>
    <t>GUPTA H.C OVERSEAS(I) P LTD UNIT II</t>
  </si>
  <si>
    <t>C-10 11 EPIP, Sikandra Bodla Road, SHASTRIPURAM, Agra</t>
  </si>
  <si>
    <t>GUPTA H.C. OVERSEAS (I) PVT LTD.</t>
  </si>
  <si>
    <t>Metal, Wood, Glass, and Brass</t>
  </si>
  <si>
    <t>http://www.marqueimpex.com/</t>
  </si>
  <si>
    <t>MARQUE IMPEX</t>
  </si>
  <si>
    <t>Opp Noorpur Village,, Chandausi Road, MORADABAD</t>
  </si>
  <si>
    <t>BASANT</t>
  </si>
  <si>
    <t>Kh No.131, Barmer Road, Near Marwar Engineering College, Bhandu Village, Jodhpur</t>
  </si>
  <si>
    <t>Basant</t>
  </si>
  <si>
    <t>SONI INTERNATIONAL JEWELRY PRIVATE LIMITED</t>
  </si>
  <si>
    <t>F-22, SPECIAL ECONOMIC ZONE-1, SITAPURA INDUSTRIAL AREA,, JAIPUR- INDIA, Jaipur</t>
  </si>
  <si>
    <t>No BRSR filing found (private company, not required to file); no sustainability report on company site; not a CDP discloser
Corporate Social Responsibility (CSR) Filings
CSR Filings: The company has filed Form CSR-2 with the Ministry of Corporate Affairs (MCA), with the recent filing recorded on December 30, 2025. Form CSR-2 is mandatory for companies covered under India's Corporate Social Responsibility provisions to report their CSR activities, policy implementation, and expenditures..
Search record: BRSR report, Sustainability Disclosure, Annual Report, CDP disclosure searched via google and company website, no sustainability disclosure found. Company registration confirmed via Company Website.</t>
  </si>
  <si>
    <t>Soni International Jewelry Private Limited</t>
  </si>
  <si>
    <t>TEEJAY INDIA PRIVATE LIMITED</t>
  </si>
  <si>
    <t>PLOT # 15, BIACPL, SEZ,, PUDIMADAKA ROAD,, ATCHUTHAPURAM MANDAL, Visakhapatnam</t>
  </si>
  <si>
    <t>Jodhpur</t>
  </si>
  <si>
    <t>Teejay India Private Limited</t>
  </si>
  <si>
    <t>FARIDA SHOES PRIVATE LIMITED (UNIT C)</t>
  </si>
  <si>
    <t>C Unit, No.306/1A, 307/1A,, Gudiyatham Road, Thuthipattu, Vellore</t>
  </si>
  <si>
    <t>FARIDA SHOES PRIVATE LIMITED</t>
  </si>
  <si>
    <t>Wood, Metal, Marble</t>
  </si>
  <si>
    <t>Jodhpur, Rajasthan</t>
  </si>
  <si>
    <t>https://basant.info/about-us.html</t>
  </si>
  <si>
    <t>Farida Shoes Private Limited</t>
  </si>
  <si>
    <t>FARIDA SHOES PRIVATE LIMITED UNIT A</t>
  </si>
  <si>
    <t>No 17/A, JALAL ROAD, Ambur</t>
  </si>
  <si>
    <t>GOLDEN FASHIONS INDIA PRIVATE LTD (DYEING)</t>
  </si>
  <si>
    <t>Plot No: G6, 4th Cross Road, SIPCOT Industrial Estate, Perundurai, ERODE</t>
  </si>
  <si>
    <t>Golden Fashions India Pvt Ltd</t>
  </si>
  <si>
    <t>No BRSR filing found (private company, not required to file); no sustainability report on company site; not a CDP discloser.
Renewable Energy %: source discloses a 50-75% range; 62.5 entered as the midpoint per the agreed convention.
ENTITY: this row is BASANT of Jodhpur (basant.info, founded 1998, wood/metal/marble furniture, lighting and decor; domestic brand Orange Tree). It is NOT "Basant India Inc", a separate Noida partnership firm (est. 1992) making apparel and bags. The two must not be merged. Renewable: 50% of total power consumption is solar based (single disclosed figure, no range).</t>
  </si>
  <si>
    <t>FFSC Partner</t>
  </si>
  <si>
    <t>INDOCOUNT INDUSTRIES LTD GOKUL</t>
  </si>
  <si>
    <t>Plot  No D-1, Gokul Shirgaon MIDC, Tal Karveer Dist Kolhapur, Kolhapur</t>
  </si>
  <si>
    <t>Indo Count Industries Ltd</t>
  </si>
  <si>
    <t>Indo Count</t>
  </si>
  <si>
    <t>MOHAN SPINTEX INDIA LIMITED UNIT-IV</t>
  </si>
  <si>
    <t>Bapulapadu Mandal.Model Industrial Park, Krishna</t>
  </si>
  <si>
    <t>Precious Materials</t>
  </si>
  <si>
    <t>Mohan Spintex India Limited</t>
  </si>
  <si>
    <t>Jaipur, India</t>
  </si>
  <si>
    <t>https://www.soniinternational.com/in</t>
  </si>
  <si>
    <t>SAHU GLOBAL PVT LTD</t>
  </si>
  <si>
    <t>A - 203, Sector - 63, GAUTAM BUDHH NAGAR, Noida</t>
  </si>
  <si>
    <t>Sahu Global Pvt Ltd</t>
  </si>
  <si>
    <t>TREND SETTERS INTERNATIONAL</t>
  </si>
  <si>
    <t>Plot No. 11, Sector 7.IMT MANESAR</t>
  </si>
  <si>
    <t>Trend Setters International</t>
  </si>
  <si>
    <t xml:space="preserve"> No BRSR filing found (private company, not required to file); no sustainability report on company site; not a CDP discloser.
Their sustainability and corporate responsibility initiatives include:
100% Solar Powered Units: Company claims on its official website that they are utilizing renewable solar energy to power their manufacturing operations.
Waste &amp; Water Management Systems: Implementing structured systems to manage waste and water responsibly.
CSR &amp; Awareness Initiatives: Engaging in corporate social responsibility programs and awareness campaigns.
Tree Plantation Drive: Actively participating in environmental preservation efforts through tree planting initiatives.
Adheres to the Responsible Jewellery Council (RJC) Code of Practices (COP) for ethical sourcing. 
Zero Industrial Wastewater Discharge: Soni International operates an in-house wastewater treatment plant where 100% of manufacturing effluent and process water is treated and recycled back into facility operations.</t>
  </si>
  <si>
    <t>RJC Member</t>
  </si>
  <si>
    <t>BANOX EXIM PVT LTD</t>
  </si>
  <si>
    <t>Visakhapatnam</t>
  </si>
  <si>
    <t>Plot No 19, Sector 4, IMT Manesar, Gurgaon</t>
  </si>
  <si>
    <t>Andhra Pr.</t>
  </si>
  <si>
    <t>Banox Exim Pvt Ltd</t>
  </si>
  <si>
    <t>Strategy 2030</t>
  </si>
  <si>
    <t>PRIME LEATHERS</t>
  </si>
  <si>
    <t>148-149 LEATHER COMPLEX, Kapurthala Road, Jalandhar</t>
  </si>
  <si>
    <t>PVH, Oniverse, VS&amp;Co., Decathlon, Marks &amp; Spencer, Nike, Uniqlo, LIDL, and Lacoste.</t>
  </si>
  <si>
    <t>Yarn (spanning cotton, synthetic, man-made cellulosics, and blended fibers) and Greige raw materials (totaling over 21,000 MT of yarn and 23,000 MT of greige raw materials annually)</t>
  </si>
  <si>
    <t>Visakhapatnam Hub, ndia, Bangladesh, Egypt, Indonesia, and Mauritius.</t>
  </si>
  <si>
    <t>Teejay Integrated Annual Report
https://www.teejay.com/imgup/pdf/teejay-annual-report-2025-26.pdf</t>
  </si>
  <si>
    <t>NANDAN TERRY ( DYEING )</t>
  </si>
  <si>
    <t>Survey No- 185/1,, Saijpur-Gopalpur,, Pirana-Piplej Road, AHMEDABAD</t>
  </si>
  <si>
    <t>Nandan Terry Limited</t>
  </si>
  <si>
    <t>NANDAN TERRY LIMITED</t>
  </si>
  <si>
    <t>Survey No- 357/A/5-6, Dholi Integrated Spinning Park Ltd, Village-Dholi, Taluka-Dholka,, AHMEDABAD</t>
  </si>
  <si>
    <t>The Group's Scope 1/2/3 GHG inventory is reported across Sri Lanka + India + other geographies combined, NOT broken out for Teejay India specifically.
Group-level disclosure only (Teejay Group, consolidated - NOT the India entity): Scope 1 68,395 tCO2e, Scope 2 28,482 tCO2e, combined 96,877.02 tCO2e, carbon intensity 89.81 tCO2e/TJ. Deliberately not entered in the columns, which cover Teejay India Private Limited only.
No entity-level environmental data exists for Teejay India Private Limited. Group figures (Teejay Lanka PLC, FY2025/26): total energy 1,078,661.75 GJ, water 2,544,186 m3, waste 7,062.16 MT, renewable 11%. Deliberately NOT entered - they are group, not India.</t>
  </si>
  <si>
    <t>Higg FEM 97%</t>
  </si>
  <si>
    <t>OBEETEE PRIVATE LIMITED(PANIPAT)</t>
  </si>
  <si>
    <t>Ambur</t>
  </si>
  <si>
    <t>Plot No-148, Sector-25, Part-1, Huda, Panipat</t>
  </si>
  <si>
    <t>OBEETEE PRIVATE LIMITED</t>
  </si>
  <si>
    <t>Obeetee Private Limited</t>
  </si>
  <si>
    <t>OBEETEE PRIVATE LTD GOPIGANJ</t>
  </si>
  <si>
    <t>42% Reduction</t>
  </si>
  <si>
    <t>Gopepur, Gopiganj, Distt. Sant Ravi, Sant Ravidas Nagar , Bhadohi ( UP), Bhadohi</t>
  </si>
  <si>
    <t>Leather (30%), Soles (50%)</t>
  </si>
  <si>
    <t>90% Imported leather</t>
  </si>
  <si>
    <t>https://farida.co.in/Content/GRI.pdf</t>
  </si>
  <si>
    <t>J.J LEATHER ENTERPRISES LTD</t>
  </si>
  <si>
    <t>NO. 56/7, NALLAMBAKKAM VILLAGE, CHENNAI</t>
  </si>
  <si>
    <t>BHARTIYA INTERNATIONAL LTD.</t>
  </si>
  <si>
    <t>Bhartiya International Ltd.</t>
  </si>
  <si>
    <t>FY2018-19</t>
  </si>
  <si>
    <t>SUNRISE FASHIONS UNIT 2</t>
  </si>
  <si>
    <t>No: 180/5, Hullahalli,, C K Palya,sakalavara post,, BANGALAORE</t>
  </si>
  <si>
    <t>Farida Shoes Private Limited is one specific legal entity within the larger, multi-plant Farida Group — group-level history and awards are real but not necessarily specific to this entity’s own environmental footprint; did not attribute group-wide claims to this row without confirmation. ISO 9001:2015 is a quality standard, not GOTS/ISO14001. 
In-House / Dedicated Power Generation: Instead of buying open-market grid energy or third-party power, Farida Shoes utilizes a captive solar power setup (rooftop solar panels / dedicated solar array installed across their leather processing &amp; footwear manufacturing units in Tamil Nadu).
FSPL sustainability report found is published for FY 2018-19. Hence, flagging it as backdated (8 years ago).
Figures are from the FY2018-19 GRI report (1 Apr 2018 - 31 Mar 2019) and confirmed against it: employees 4,371; Scope 1 297.55; Scope 2 2,942.48; renewable 70%; total energy 11,616 MWh (41.82 TJ); water consumed 42,223 KL. Scope 1+2 of 3,240.03 and intensity of 77.49 are DERIVED - the report prints neither. No newer report, CDP score or LWG entry was found.</t>
  </si>
  <si>
    <t>LWG Gold</t>
  </si>
  <si>
    <t>RMP FAB SOURCING PVT LTD</t>
  </si>
  <si>
    <t>Plot no -289, sector 58, ,Ballabhgarh, Faridabad, FARIDABAD</t>
  </si>
  <si>
    <t>Erode</t>
  </si>
  <si>
    <t>Rmp Fab Sourcing Pvt Ltd</t>
  </si>
  <si>
    <t>SHAHI EXPORTS PVT  LTD, SHIMOGA</t>
  </si>
  <si>
    <t>WPD, Unit - 105, Sy.no 156, KIDBA INDUSTRIAL AREA, NIDIGE, MANCHENAHALLI, SHIMOGA, Shimoga</t>
  </si>
  <si>
    <t>H&amp;M Group, Regional B2B textile traders,</t>
  </si>
  <si>
    <t>Cotton / Woven / Cotton Grey Fabric</t>
  </si>
  <si>
    <t>Shahi Exports Pvt  Ltd, Shimoga</t>
  </si>
  <si>
    <t>Erode, Tamil Nadu (India)</t>
  </si>
  <si>
    <t>https://tracxn.com/d/legal-entities/india/golden-fashions-india-private-limited/__v8yWj7WivXd6-4D84Zwurn4_HyuGD68kWrmF4b3-Rmg</t>
  </si>
  <si>
    <t>JAWANDSONS</t>
  </si>
  <si>
    <t>V. PO. BHAMIAN KALAN,, TAJPUR ROAD ,Ludhiana, Punjab, Ludhiana</t>
  </si>
  <si>
    <t>Jawandsons Private Limited</t>
  </si>
  <si>
    <t>Global Recycle Standard (GRS), Organic Content Standard (OCS), Recycled Claim Standard (RCS)</t>
  </si>
  <si>
    <t>K.P.R MILL LIMITED-PROCESSING MILL</t>
  </si>
  <si>
    <t>NO: NN3, 5'th Cross, SPICOT, Perundurai, ERODE</t>
  </si>
  <si>
    <t>No sustainability disclosure found; company registration confirmed via Tracxn.
Golden Fashions India Private Limited, a regional cotton grey fabric and textile manufacturer based in Erode, Tamil Nadu, does not publicly publish a dedicated corporate sustainability report or ESG disclosure. Because it is a private SME with an annual turnover of around INR 53.1 crores, formal standalone sustainability reporting is not publicly mandated
No BRSR filing found (private company, not required to file); no sustainability report on company site; not a CDP discloser.
Search record: BRSR report, Sustainability Disclosure, Annual Report, CDP disclosure searched via google, no sustainability disclosure found; company registration confirmed via Tracxn.</t>
  </si>
  <si>
    <t>K.P.R Mill Limited-Processing Mill</t>
  </si>
  <si>
    <t>indo-count</t>
  </si>
  <si>
    <t>NEOKRAFT GLOBAL PRIVATE LIMITED</t>
  </si>
  <si>
    <t>Plot No. 137, NOIDA SPECIAL ECONOMIC ZONE, Phase II, Noida</t>
  </si>
  <si>
    <t>NEOKRAFT GLOBAL PVT. LTD.</t>
  </si>
  <si>
    <t>Neokraft Global Pvt. Ltd.</t>
  </si>
  <si>
    <t>RS PRINT FAB PVT LTD</t>
  </si>
  <si>
    <t>C6,7,8/1, 11, Site  C ,, SURAJPUR INDUSTRIAL AREA, Gautam Buddh Nagar, GREATER NOIDA</t>
  </si>
  <si>
    <t>RS Print Fab Pvt Ltd</t>
  </si>
  <si>
    <t>Committed SBTi</t>
  </si>
  <si>
    <t>Rs Print Fab Pvt Ltd</t>
  </si>
  <si>
    <t>AARTI INTERNATIONAL LIMITED</t>
  </si>
  <si>
    <t>Net Zero by 2040</t>
  </si>
  <si>
    <t>Reducing coal via efficiency</t>
  </si>
  <si>
    <t>Village, Bhama Kalan &amp; Harhian, PO, Uppal, Kohara Macchiwara Link Road, Ludhiana, Ludhiana</t>
  </si>
  <si>
    <t>Walmart, Costco, Kohl's, Revman, JC Penney, Target</t>
  </si>
  <si>
    <t>AARTI INTERNATIONAL LTD.</t>
  </si>
  <si>
    <t>Cotton, Yarn, Fabric</t>
  </si>
  <si>
    <t>No data</t>
  </si>
  <si>
    <t>Aarti International Ltd.</t>
  </si>
  <si>
    <t>ARTHANARI LOOM CENTRE</t>
  </si>
  <si>
    <t>No. 5/127, Erumapalayam Main Road,, Erumapalayam,  Po- Salem, Salem</t>
  </si>
  <si>
    <t>Arthanari Loom Centre</t>
  </si>
  <si>
    <t>Vijayawada</t>
  </si>
  <si>
    <t>DAKS INDIA INDUSTRIES PVT LTD</t>
  </si>
  <si>
    <t>I-12 SITE 5, KASNA INDUSTRIAL AREA, GREATER NOIDA</t>
  </si>
  <si>
    <t>Footwear,Bag&amp;Belt, Jersey</t>
  </si>
  <si>
    <t xml:space="preserve"> Unlisted public limited</t>
  </si>
  <si>
    <t>Daks India Industries Pvt Ltd</t>
  </si>
  <si>
    <t>SARLA FABRIC PVT LTD</t>
  </si>
  <si>
    <t>30/2, Loni Road, Mohan Nagar,, Ghaziabad</t>
  </si>
  <si>
    <t>Shahi Exports Pvt. Ltd ( Unit Sarla</t>
  </si>
  <si>
    <t>Target 70% / 100% RE Transition Focus</t>
  </si>
  <si>
    <t>100% (Husk)</t>
  </si>
  <si>
    <t>Cotton/Blend</t>
  </si>
  <si>
    <t>CENTEX FABRICS EXPORT UNIT</t>
  </si>
  <si>
    <t xml:space="preserve">https://www.mohanspintex.com/sustainability
The Textile Magazine Jan 2026
</t>
  </si>
  <si>
    <t>D-217, PHASE-7, FOCAL POINT.</t>
  </si>
  <si>
    <t>Centex Fabrics Export Unit</t>
  </si>
  <si>
    <t>Global Organic Textile Standard (GOTS), Organic Content Standard (OCS)</t>
  </si>
  <si>
    <t>No BRSR filing found (private company, not required to file); no sustainability report on company site; not a CDP discloser.
1. Green Plantation
Focuses on green plantation drives around industrial premises to offset emissions.
2. Sustainable Fibers &amp; Packaging Materials
Integration of sustainable fiber sourcing and eco-friendly packaging materials within their production cycle.
3. Rooftop Solar System
Capacity: Features a 10.8 MW and 16 KW rooftop solar power unit.
Environmental Impact: Avoids 13,296 tonnes of CO2 per annum, equivalent to the planting of 66,480 trees.
4. Coal-Free Steam Generation
Environmental Impact: Avoids 54,444 tonnes of CO2 per annum, equivalent to the planting of 2,57,220 trees.
5. Zero Liquid Discharge (ZLD)
Technology: Equipped with an advanced Effluent Treatment Plant (ETP).
Efficiency: Recovers 98% of water from liquid waste discharged by process units for internal reuse.
6. Rainwater Harvesting
Capacity: Stores up to 10,000 cubic meters of water.
Method: Utilizes both roof and non-roof collection systems to maximize water resources and minimize dependence on groundwater.
Key Facility Certifications: ISO, OEKO-TEX, GOTS (Global Organic Textile Standard), GRS (Global Recycled Standard), BCI, and MADE IN GREEN
Solar 10.8 MW rooftop confirmed against the company sustainability page (source says MW, not MWp). Note the page still carries Lorem Ipsum placeholder text under three headings, so treat it as a weak source.</t>
  </si>
  <si>
    <t>DESIGNCO EXPORT PRIVATE LIMITED</t>
  </si>
  <si>
    <t>Khasra No.1308, 1473.LAKRI FAZALPUR</t>
  </si>
  <si>
    <t>Designco Export Private Limited</t>
  </si>
  <si>
    <t>GRASIM INDUSTRIES LIMITED</t>
  </si>
  <si>
    <t>25% RE</t>
  </si>
  <si>
    <t>Green Fuels</t>
  </si>
  <si>
    <t>Plot No. T - 8 , Five Star MIDC, Kagal - Hatkanangale, Kasaba, Kasaba Sangaon, Kolhapur</t>
  </si>
  <si>
    <t>H&amp;M, M&amp;S</t>
  </si>
  <si>
    <t>Flax/Garment</t>
  </si>
  <si>
    <t>Grasim Industries Limited</t>
  </si>
  <si>
    <t>Noida, UP</t>
  </si>
  <si>
    <t>Environmental Responsibility - Sahu Global
https://www.sahuglobal.com/sustainability</t>
  </si>
  <si>
    <t>Grasim Industries</t>
  </si>
  <si>
    <t>MEZZO CLOTHING (PRINTING UNIT)</t>
  </si>
  <si>
    <t>A 3, Sector 58, Noida</t>
  </si>
  <si>
    <t>Radnik Auto Exports</t>
  </si>
  <si>
    <t>RADNIK AUTO EXPORTS UNIT NSEZ</t>
  </si>
  <si>
    <t>64,, NSEZ, Phase - II, Noida</t>
  </si>
  <si>
    <t>Accessories, Footwear,Bag&amp;Belt</t>
  </si>
  <si>
    <t>As an unlisted private entity, Sahu Global Private Limited is not legally mandated by SEBI to file a public Business Responsibility and Sustainability Report (BRSR). However, the company voluntarily outlines its environmental and resource management metrics through corporate responsibility guidelines.
Renewable Energy: Operates on-site solar energy generation, fulfilling 25% of its total electricity demand.   
Water Management: Utilizes a Zero Liquid Discharge (ZLD) effluent treatment plant to recycle 100% of process water.   
Circularity &amp; Materials: Uses organic, recycled, and sustainable cotton inputs across its supply chain.   
Social Responsibility: Participates in community programs and workforce development initiatives, including the HERproject for female workforce empowerment.
Renewable: on-site solar provides 25% of electricity (electricity basis). No total energy figure is published, so no energy-basis share can be derived.</t>
  </si>
  <si>
    <t>ALPINE APPARELS PVT. LTD.</t>
  </si>
  <si>
    <t>PLOT NO. 18, SECTOR 27A, FARIDABAD</t>
  </si>
  <si>
    <t>Alpine Apparels Pvt. Ltd.</t>
  </si>
  <si>
    <t>Manesar</t>
  </si>
  <si>
    <t>ALPINE APPARELS PVT. LTD. [UNIT 19]</t>
  </si>
  <si>
    <t>Plot no. 19,Sector 27A, Haryana, FARIDABAD</t>
  </si>
  <si>
    <t>VINTY IMPEX PVT. LTD.</t>
  </si>
  <si>
    <t>G-476, UPSIDC Industrial Area,, M.G Road, Hapur,Uttar Pradesh, 201001, Ghaziabad</t>
  </si>
  <si>
    <t>VINTY IMPEX PVT LTD.</t>
  </si>
  <si>
    <t>Efficiency</t>
  </si>
  <si>
    <t>Vinty Impex Pvt Ltd.</t>
  </si>
  <si>
    <t>Grid Mixed</t>
  </si>
  <si>
    <t>Inditex, Mango</t>
  </si>
  <si>
    <t>Woven/Knit</t>
  </si>
  <si>
    <t>https://www.trendsettersco.com/</t>
  </si>
  <si>
    <t>VINTY IMPEX PVT. LTD. ( UNIT 3 )</t>
  </si>
  <si>
    <t>Khasra no.293ME, Village Dinanathpur Puthi, Ghaziabad</t>
  </si>
  <si>
    <t>AC BROTHERS</t>
  </si>
  <si>
    <t>NH24, Lakri Fazalpur, MORADABAD</t>
  </si>
  <si>
    <t>AC Brothers</t>
  </si>
  <si>
    <t>Ac Brothers</t>
  </si>
  <si>
    <t>AC BROTHERS - UNIT 3 (WOOD )</t>
  </si>
  <si>
    <t>12th Km Stone, Village- Jiwai Amroha, Amroha</t>
  </si>
  <si>
    <t>No sustainability disclosure found; company registration confirmed via Linked in. Unable to navigate company website. Hence, not confirmed.
No BRSR filing found (private company, not required to file); no sustainability report on company site; not a CDP discloser.
Trend Setters International does not publish a standalone, public corporate sustainability report. Instead, as an apparel manufacturing and export house in India, the company integrates sustainability and ESG practices directly into buyer compliance disclosures, industry forums (such as the Apparel Export Promotion Council), and showcases eco-friendly textile innovations at trade events like Bharat Tex
Partnership firm; reporting is generally limited to financial proxies for strategic partners.
Energy Source / RE %: Grid + Diesel
Water Source: Grid Pipeline
Search record: BRSR report, Sustainability Disclosure, Annual Report, CDP disclosure searched via google, no sustainability disclosure found; company registration confirmed via Linked in. Unable to navigate company website. Hence, not confirmed.</t>
  </si>
  <si>
    <t>CHAMPO CARPETS (PLOT NO 277)</t>
  </si>
  <si>
    <t>Plot no. 277, Sector 29,  Part 2, HUDA, Panipat</t>
  </si>
  <si>
    <t>Champo Carpets</t>
  </si>
  <si>
    <t>PNM INC</t>
  </si>
  <si>
    <t>Jairampur,, Aurai road, Bhadohi, Bhadohi</t>
  </si>
  <si>
    <t>H&amp;M Group</t>
  </si>
  <si>
    <t>Pristine quality leather and suede, alongside vegan leather alternatives, BCI Cotton Fabric, organic cotton, recycled cotton, and recycled polyester</t>
  </si>
  <si>
    <t>Annual-Report-2024-25.pdf
https://www.banox.in/sustainability/#</t>
  </si>
  <si>
    <t>DILEEP INDUSTRIES IND PRIVATE LIMITED (WOOD)</t>
  </si>
  <si>
    <t>G161-164 , RIICO Industrial Area,, Bagru Extension , Bagru,, Jaipur</t>
  </si>
  <si>
    <t>RADIUM CREATION PRIVATE LIMITED (VALSAD)</t>
  </si>
  <si>
    <t>Survey No.77&amp;169/1/3, Near Hindustan Pencil Factory, Village Tumb, Taluk Umbergaon, Valsad</t>
  </si>
  <si>
    <t>RADIUM CREATION PRIVATE LIMITED</t>
  </si>
  <si>
    <t>Radium Creation Private Limited</t>
  </si>
  <si>
    <t>No BRSR filing found (private company, not required to file); no sustainability report on company site; not a CDP discloser.
Energy Efficiency: Installed a 200 KW solar panel system (generating 143,431 kWh and saving 135 tons of CO2 in 2022), replaced 1,100 tube lights with energy-saving 18W LEDs, and swapped 100 constant-running clutch motors for efficient servo motors.
Water &amp; Waste Management: Operates a 15-year rainwater harvesting system, reuses RO water domestically, upcycles leftover leather into small accessories, and recycles stationary via authorized agencies.
Packaging: Utilizes recycled paper fillers, polybags, and cartons.
Groundwater replenishment / aquifer recharge initiative
Leather waste upcycling practices implemented
Solar 200 kW installed at the facility, stated for 2022 (capacity, undated beyond that). The cited Annual-Report-2024-25.pdf exists but is a Companies Act statutory filing with no energy data - it supports none of these figures.</t>
  </si>
  <si>
    <t>RASTOGI ENTERPRISES</t>
  </si>
  <si>
    <t>No. E 105, Sector 63, Noida</t>
  </si>
  <si>
    <t>Rastogi Enterprises</t>
  </si>
  <si>
    <t>AGPL ROTARY PRINTING</t>
  </si>
  <si>
    <t>Committed (near-term + net-zero)</t>
  </si>
  <si>
    <t>SF. No: 221/2D, Ponnan Thottam,  Murugampalayam, Iduvampalayam Post, TIRUPUR</t>
  </si>
  <si>
    <t>70% (Wind/Sol)</t>
  </si>
  <si>
    <t>Walmart, Ross</t>
  </si>
  <si>
    <t>Terry/Hemp</t>
  </si>
  <si>
    <t xml:space="preserve">https://chiripalgroup.com/union-budget2025-26-catalyzing-growth-and-innovation-at-nandan-yerry-limited
</t>
  </si>
  <si>
    <t>AXA LEATHER GROUP</t>
  </si>
  <si>
    <t>1105/A-6, P.J. Nehru Road, Vaniyambadi</t>
  </si>
  <si>
    <t>Axa Leather Group</t>
  </si>
  <si>
    <t>CTA APPARELS PVT. LTD.- FABRIC MILL</t>
  </si>
  <si>
    <t>P-26 to P 29,, Textile Yogna Center,,  Pilkhuwa Hapur,( U.P), Hapur</t>
  </si>
  <si>
    <t>DILEEP POTTERIES PVT LTD</t>
  </si>
  <si>
    <t>Village Chirota,, Post Ajayrajpura, Via Bagru,, Dist Jaipur, Jaipur</t>
  </si>
  <si>
    <t>Related Listed Entity — Nandan Denim Limited
No BRSR filing found (private company, not required to file); no sustainability report on company site; not a CDP discloser.
Solar Infrastructure &amp; Manufacturing: Grew Energy features state-of-the-art manufacturing facilities with expertise in producing high-quality PV modules and cells, supporting India's broader renewable energy and solar objectives.
SBTi: near-term and net-zero commitments both active (ID 40029481, published 30/04/2026); no validated targets yet. Source: https://sciencebasedtargets.org/target-dashboard. NOT BRSR-obligated - the company filed a DRHP in Dec 2021 but withdrew the IPO in 2022 and never listed. Certifications: GOTS, OEKO-TEX Made in Green, GRS, Detox, SEDEX, SA8000, BCI, Fairtrade. CAUTION: sibling Chiripal entities Nandan Denim Ltd and Vishal Fabrics Ltd ARE listed and do file BRSR - their data must not be attributed here.</t>
  </si>
  <si>
    <t>Details noted from Chiripal group as it comes under chiripal group. Not 100% sure if it applies.</t>
  </si>
  <si>
    <t>FIABILA INDIA PVT LTD</t>
  </si>
  <si>
    <t>v-16 17 Midc Taloja, Navi Mumbai</t>
  </si>
  <si>
    <t>Fiabila India PVT Ltd</t>
  </si>
  <si>
    <t>Bhadohi</t>
  </si>
  <si>
    <t>INDO-DAN LAMPSHADES PVT LTD</t>
  </si>
  <si>
    <t>Plot no 20, NSEZ Phase II, Noida</t>
  </si>
  <si>
    <t>INDODAN LAMPSHADES PVT. LTD.</t>
  </si>
  <si>
    <t>Parsons</t>
  </si>
  <si>
    <t>Wool Carpets</t>
  </si>
  <si>
    <t>Mirzapur</t>
  </si>
  <si>
    <t>Indodan Lampshades Pvt. Ltd.</t>
  </si>
  <si>
    <t>Obeetee SA 8000 Disclosure
https://www.obeetee.in/pages/sustainability</t>
  </si>
  <si>
    <t>KPM PROCESSING MILL P LTD.</t>
  </si>
  <si>
    <t>SF NO:254/3A, Karaipudhur Village, Chinnakarai, Arul Puram (post), TIRUPUR</t>
  </si>
  <si>
    <t>KPM Processing MIll (P) Ltd</t>
  </si>
  <si>
    <t>Kpm Processing Mill (P) Ltd</t>
  </si>
  <si>
    <t>SEET KAMAL INTERNATIONAL ( UNIT 2)</t>
  </si>
  <si>
    <t>4C, Kamani Road, Jhotwara Industrial Area, Jaipur</t>
  </si>
  <si>
    <t>Seet Kamal Private Limited</t>
  </si>
  <si>
    <t>SHAKTHI KNITTING PRIVATE LIMITED (MS COLOURSBURG)</t>
  </si>
  <si>
    <t>PLOT NO.18, SIPCOT INDL.GROWTH CENTRE,, 5TH CROSS , 8TH LOOP ROAD,, Perundurai, ERODE</t>
  </si>
  <si>
    <t>Strong, real, independently-verifiable SOCIAL certifications (GoodWeave/anti-child-labour, SA8000, Fairtrade, ILO recognition). But no ENVIRONMENTAL certifications (GOTS/ISO14001) or quantified emissions/water data found anywhere, including the company's own site, which only uses qualitative sustainability language.
Highlights a 90% reduction in water consumption/withdrawal achieved through water efficiency initiatives.
Husk Ash - Refers to the byproduct management of rice husk ash generated from the facility's biomass boiler energy operations.
Solar Energy: Solar panels at their main factory meet 30% of their energy needs, saving approximately 37,666 trees and reducing CO2 emissions by about 1,807,790 lbs per year.
Biomass Steam Generation: The dye plant uses locally sourced rice husks instead of coal to generate steam, reducing their carbon footprint by roughly 74,000 trees annually.
Recycled PET Yarns: Plastic bottles are recycled into durable, weather-resistant PET yarns—averaging 540,000 bottles used to produce 6,000 kg of yarn every month.
Natural and Eco-Friendly Materials: They utilize natural hand-spun wool, unwoven hand-spun linen, BCI cotton, organic cotton, recycled cotton, hemp, and jute.
Conscious Dyes: Design processes incorporate natural dyes (such as indigo for blue, saffron for yellow, and walnut shells for brown) alongside azo-free dyes.
Water Conservation
Obeetee has reduced its water consumption by 90% through targeted conservation steps:
Efficient Washing: Tufted collections are washed using a low concentration of detergent and significantly less water than the traditional average of 30 buckets per square yard.
Wastewater Treatment: Residual water goes through an onsite effluent treatment and wastewater recycling facility (consisting of channeling, primary physical separation, secondary biological processes, and tertiary final polishing). This clean water is reused to irrigate fields around the factory.
Heat Recovery: Heated water is captured and reused for dyeing yarns.
Renewable: solar panels at the main factory meet 30% of that factory's energy requirement (single-site figure, not company-wide). Company-level renewable share is not disclosed.</t>
  </si>
  <si>
    <t>Certifications
Obeetee holds several international sustainability and ethical standards, including: Fairtrade, Woolmark, RWS (Responsible Wool Standard), Fernmark, Goodweave, GRS &amp; RCS (Global Recycled Standard &amp; Recycled Claim Standard), SA 8000:2014</t>
  </si>
  <si>
    <t>Shakthi Knitting Private Limited (Ms Coloursburg)</t>
  </si>
  <si>
    <t>New Delhi</t>
  </si>
  <si>
    <t>VISWAS TEXTILE PROCESSORS / AZURE</t>
  </si>
  <si>
    <t>24 GUDIMAVU VILLAGE KUMBALAGODU, KENGERI HOBLI MYSORE ROAD, BANGALORE 74, Bangalore</t>
  </si>
  <si>
    <t>Viswas Textile Processors / Azure</t>
  </si>
  <si>
    <t>Sourced RE</t>
  </si>
  <si>
    <t>Coach, Ralph</t>
  </si>
  <si>
    <t>Leather/Fashion</t>
  </si>
  <si>
    <t>Multi-Region</t>
  </si>
  <si>
    <t>YES DYEING &amp; PRINTING P. LTD.</t>
  </si>
  <si>
    <t xml:space="preserve">Bhartiya Annual Report 2025 (Janta).pdf
https://bhartiyafashion.com/download/ANNUAL-REPORT-2024-2025-Consolidated-and-Standalone.pdf
</t>
  </si>
  <si>
    <t>Plot no. 206, Road-A, Pandesara GIDC, Surat</t>
  </si>
  <si>
    <t>YES FASHIONS PVT. LTD.</t>
  </si>
  <si>
    <t>Yes Fashions Pvt. Ltd.</t>
  </si>
  <si>
    <t>Listed company but small-cap — likely below the ~top-1,000-by-market-cap threshold that makes BRSR mandatory in India, which is why no filing was found despite being publicly traded. This is a useful distinction for the researcher/tech head: 'listed' alone does not guarantee a BRSR exists, only sufficient market cap does. No environmental certifications or quantified emissions/energy/water figures found anywhere public.
No BRSR filing found (private company, not required to file); no sustainability report on company site; not a CDP discloser
Sourcing/procurement of renewable energy dedicated to their Bangalore unit operations
Industrial water treatment via an Effluent Treatment Plant (ETP) designed for leather processing
Specialized heavy metal recovery systems to capture and reuse chromium from tanning waste
Listed (BSE 526666 / NSE BHAI) but BRSR NOT applicable - the FY2024-25 Directors' Report states it falls below the SEBI threshold. The annual report contains no energy, emissions or water figures. Registry disclosure found: Leather Working Group rating GOLD for subsidiary J &amp; J Leather Enterprises Ltd (Nallambakkam/Vandalur tannery, URN JJL101), with traceability of 11.26% physical, 38.53% documented, 5.78% group, 4.03% regional, 40.4% not traceable. Site/subsidiary-level, not parent-level.</t>
  </si>
  <si>
    <t>CSR Charter</t>
  </si>
  <si>
    <t>AMIT EXPORTS</t>
  </si>
  <si>
    <t>A-10 , E.P.I.P, SHASTRIPURAM, Agra</t>
  </si>
  <si>
    <t>Amit Exports</t>
  </si>
  <si>
    <t>CREATIVE FUNCTIONAL ART PRIVATE LIMITED</t>
  </si>
  <si>
    <t>Planned Solar</t>
  </si>
  <si>
    <t>Lakri Fazalpur, Near Hindusta Paper, MORADABAD</t>
  </si>
  <si>
    <t>Home Textiles</t>
  </si>
  <si>
    <t>Creative Functional Art</t>
  </si>
  <si>
    <t>Woven Fabric</t>
  </si>
  <si>
    <t>https://rmpgroup.com/#Aboutus</t>
  </si>
  <si>
    <t>GOOD LEATHER COMPANY</t>
  </si>
  <si>
    <t>702/6, MBT ROAD CROSS,, RANIPET, RANIPET DISTRICT, TAMIL NADU. INDIA., Ranipet</t>
  </si>
  <si>
    <t>Good Leather Company</t>
  </si>
  <si>
    <t xml:space="preserve">No BRSR filing found (private company, not required to file); no sustainability report on company site; not a CDP discloser.
RMP Fab Sourcing Pvt Ltd does not publicly publish a formal, standalone corporate sustainability report or ESG disclosure document online.
Utilizes Biomass Boiler systems for thermal energy
Renewable solar capacity installation is in the planning phase
Subject to ethical/environmental audit compliance for water management
</t>
  </si>
  <si>
    <t>JAIN CORD INDUSTRIES PVT LTD</t>
  </si>
  <si>
    <t>VILL DAUTANTA, CHANDORI ROAD TEHSIL CHHATA, Mathura</t>
  </si>
  <si>
    <t>Ranipet</t>
  </si>
  <si>
    <t>Jain Cord Industries Pvt Ltd</t>
  </si>
  <si>
    <t>Group Flagship</t>
  </si>
  <si>
    <t>LINK UP TEXTILES PRIVATE LIMITED</t>
  </si>
  <si>
    <t>T - 71, MIDC Industrial Area,, Butibori, Nagpur, MAHARASHTRA, Nagpur</t>
  </si>
  <si>
    <t>M/S LINK UP TEXTILES PRIVATE LIMITED</t>
  </si>
  <si>
    <t>LWG Protocol, Green Energy</t>
  </si>
  <si>
    <t>M/S Link Up Textiles Private Limited</t>
  </si>
  <si>
    <t>Footwear</t>
  </si>
  <si>
    <t>Patent Leather, Raw Hide / Leather (processes and manufactures leather goods and finished leather)</t>
  </si>
  <si>
    <t>Ranipet, Primarily in Tamil Nadu, India</t>
  </si>
  <si>
    <t>https://www.goodleathergroup.com/sustainability</t>
  </si>
  <si>
    <t>SAROJ LEATHERS (INDIA) PVT. LTD.</t>
  </si>
  <si>
    <t>Saroj Leathers (India) Pvt. Ltd., No85-A,85-B Phase-II,Sipcot Ranipet, TAMIL NADU. INDIA., Ranipet</t>
  </si>
  <si>
    <t>Saroj Leathers (India) Pvt. Ltd.</t>
  </si>
  <si>
    <t>SRG APPARELS LTD</t>
  </si>
  <si>
    <t>S/F No. 224/1, Ponnan thottam, Murugampalayam, Iduvampalayam Post, TIRUPUR</t>
  </si>
  <si>
    <t>SRG Apparels Pvt Ltd</t>
  </si>
  <si>
    <t>Srg Apparels Pvt Ltd</t>
  </si>
  <si>
    <t>STAR EXPORTS</t>
  </si>
  <si>
    <t>NO. 7/6, MGR NEDUNCHALAI, NAGALKENI, CHROMEPET, CHENNAI</t>
  </si>
  <si>
    <t>Star Exports</t>
  </si>
  <si>
    <t xml:space="preserve">No BRSR filing found (private company, not required to file); no sustainability report on company site; not a CDP discloser.
Good Leather Company is currently undergoing an expansion of its leather processing unit (semi-finished to finished leather) in the Vellore District of Tamil Nadu, as verified by the MoEFCC Expert Appraisal Committee.
The environmental initiatives implemented by the Good Leather Group include:
Solar Power: Operates a 2 MW captive solar power generation plant in Karur, Tamil Nadu (through an LLP established in 2021) and generates 80 kW of solar power daily directly at their leather factory.
Waste Water Management: Treats wastewater using a Sewage Treatment Plant (STP) system and repurposes the treated water to nurture on-site gardens.
Energy Saving: Adopts energy-efficient technologies including LED lighting, electronic synchronizer motors, and explores transitions from electric to electronic machinery to lower environmental impact and enhance productivity.
Pollution Control &amp; Certifications: Holds Pollution Control Board certifications, operates within a carbon-free enclave nestled among mango farms, and maintains a LWG Gold-rated certification for environmentally responsible practices.
Sustainability Highlights: 
LWG Protocol:The comprehensive framework and auditing standard used to evaluate leather manufacturing facilities. It assesses environmental performance across critical areas including water/energy usage, waste management, chemical safety, traceability, and effluent treatment. The current main standard version is Protocol 7 (P7).LWG Audited:Refers to a facility or supplier that has undergone an official assessment by an accredited LWG auditor. Meeting the baseline standard certifies the facility as audited. No BRSR filing found (private company, not required to file); no sustainability report on company site; not a CDP discloser.
</t>
  </si>
  <si>
    <t>TRAVANCORE COCOTUFT (P) LTD</t>
  </si>
  <si>
    <t>Coir Park</t>
  </si>
  <si>
    <t>LWG Gold
The highest level of certification awarded under the LWG assessment system. Facilities achieving an overall score of 85% or higher (while satisfying key critical section thresholds) receive Gold status. Lower performance tiers include Silver (65%+) and Bronze (55%+)</t>
  </si>
  <si>
    <t>Travancore Cocotuft Private Ltd</t>
  </si>
  <si>
    <t>VAS NOORULLAH TANNERY UNIT</t>
  </si>
  <si>
    <t>Vaniyambadi - Gudiyattam Rd,, Uthayendram,,  Tamil Nadu 635754, Vaniambadi</t>
  </si>
  <si>
    <t>VAS Noorullah</t>
  </si>
  <si>
    <t>Vas Noorullah</t>
  </si>
  <si>
    <t>Mission Zero</t>
  </si>
  <si>
    <t>IKEA, H&amp;M</t>
  </si>
  <si>
    <t>https://jawandson.com/esg-compass/</t>
  </si>
  <si>
    <t>AMITARA OVERSEAS PRIVATE LIMITED</t>
  </si>
  <si>
    <t>NO 7, SURVEY NO 1149/1, AMITRA GREEN HI-TECH PARK, VILLAGE NYAKA, Gujarat</t>
  </si>
  <si>
    <t>JINDAL WORDLWIDE LIMITED</t>
  </si>
  <si>
    <t>Jindal Worldwide</t>
  </si>
  <si>
    <t>CARLRIMA IMPEX PVT. LTD.</t>
  </si>
  <si>
    <t>Plot No-27, Scheme No-40.Industrial Area, Panki</t>
  </si>
  <si>
    <t>No specific sustainability reports found in current sources.No BRSR filing found (private company, not required to file); no sustainability report on company site; not a CDP discloser
The Jawandsons Group uses a proprietary technological and data-monitoring tool called ESG Compass to manage its sustainability initiatives.
Scope: Covers performance data collection across all group business entities, sites, and plants.
Metric Tracking: Securely tracks and collates data across 30+ ESG KPIs spanning the Environmental, Social, and Governance (ESG) domains.
Key Parameters Tracked:
Electricity and fuel consumption
Waste generation
Greenhouse Gas (GHG) and environmental emissions
Governance parameters and diversity ratios
Strategic Integration: Integrates consumer-driven and innovation-led ESG initiatives into operational paradigms, moving beyond short-term financial returns to create a more inclusive and balanced organization.
Business Benefits: Connects robust ESG compliance to long-term valuation, profitability, enhanced equity, and lower capital costs by mitigating organizational risks
Technology &amp; Process: Leverages SAP to automate data collection alongside individual data entry. It utilizes a maker-checker framework for capturing data with complete traceability and features a dedicated dashboard mapping the group's shift toward decarbonization (Scope 1, 2, and 3 emissions).
Engaged in roadmap planning toward net-zero targets.
Energy usage tracking and accounting automated via SAP systems.
Solar power installation capacity is currently in the planning stage.
Water treatment handled via an internal on-site Effluent Treatment Plant (ETP).
Industrial waste reduction implemented using Kaizen continuous improvement methodologies.
The company website carries ESG pages whose content is copied near-verbatim from Welspun and does not describe this company. Nothing from it has been recorded. No genuine disclosure exists.</t>
  </si>
  <si>
    <t>Carlrima Impex Pvt Ltd</t>
  </si>
  <si>
    <t>Good Leather Shoes Pvt Ltd</t>
  </si>
  <si>
    <t>FABTECH INTERNATIONAL HOSIERIES PVT LTD</t>
  </si>
  <si>
    <t>No.369/1, Nochipalayam Road,, Veerapandi P.O, Tirupur, TIRUPUR, TIRUPUR</t>
  </si>
  <si>
    <t>FABTECH INTERNATIONAL HOSIERIES  PVT LTD</t>
  </si>
  <si>
    <t>Fabtech International Hosieries  Pvt Ltd</t>
  </si>
  <si>
    <t>Private Limited / LLP</t>
  </si>
  <si>
    <t>GOOD LEATHER SHOES PVT LTD</t>
  </si>
  <si>
    <t>SF.Nos. 129 &amp; 131.Labbaimankuppam Village</t>
  </si>
  <si>
    <t>GTM INDUSTRIES</t>
  </si>
  <si>
    <t>A6, C6 UPSIDC INDL., AREA KOTWAN KOSI KALAN, DISTT-MATHURA (UP), Mathura</t>
  </si>
  <si>
    <t>Good Leather Group
https://www.goodleathergroup.com/</t>
  </si>
  <si>
    <t>GTM Industries</t>
  </si>
  <si>
    <t>Gtm Industries</t>
  </si>
  <si>
    <t>HEMLA EMBROIDERY MILLS PVT. LTD.</t>
  </si>
  <si>
    <t>14/6, MAIN MATHURA ROAD, FARIDABAD</t>
  </si>
  <si>
    <t>Hemla Embroidery Mills Pvt. Ltd.</t>
  </si>
  <si>
    <t>KDH TEXTILE PVT LTD</t>
  </si>
  <si>
    <t>PLOT NO 545, HSIIDC BARHI, PHASE II, SONIPAT, Haryana, SONIPAT</t>
  </si>
  <si>
    <t>Kdh Textile Pvt Ltd</t>
  </si>
  <si>
    <t>MAXIMA SOLUTIONS</t>
  </si>
  <si>
    <t>Subsidiary/division of Good Leather Group - not counted separately. Reports only at parent level; unit-level figures are not separately disclosed.</t>
  </si>
  <si>
    <t>Plot No. 56, Sector - IIDC, IIE, SIDCUL, Pantnagar, Udham Singh Nagar, Rudrapur</t>
  </si>
  <si>
    <t>Maxima Solutions</t>
  </si>
  <si>
    <t>Noida (NSEZ)</t>
  </si>
  <si>
    <t>NIVIN LEATHERS</t>
  </si>
  <si>
    <t>No: S5, Talco Industrial Estate, Madhavaram, CHENNAI</t>
  </si>
  <si>
    <t>Nivin Leathers</t>
  </si>
  <si>
    <t>POTISSIMUS ARROW SHOES PVT LTD</t>
  </si>
  <si>
    <t>S-34 PHASE -III , SIPCOT INDUSTRIAL, M.K.PURAM POST. SIPCOT, NELLIKUPPAM, Vellore</t>
  </si>
  <si>
    <t>RODIRO FABRICA DE CALCADO LDA</t>
  </si>
  <si>
    <t>Rodiro Fabrica De Calcado Lda</t>
  </si>
  <si>
    <t>Cosmetic Brands</t>
  </si>
  <si>
    <t>Scandinavian and natural fabrics</t>
  </si>
  <si>
    <t>Noida Special Economic Zone</t>
  </si>
  <si>
    <t>PRECOT LIMITED H UNIT</t>
  </si>
  <si>
    <t>Plot No. 14P-16/26-28P.KIADB SEZ-Textiles</t>
  </si>
  <si>
    <t>https://indodanlampshades.com/csr</t>
  </si>
  <si>
    <t>Precot Limited</t>
  </si>
  <si>
    <t>REGI INDIA COSMETICS PVT. LTD</t>
  </si>
  <si>
    <t>Plot No-09, Sector-5, IIE, SIDCUL, Haridwar</t>
  </si>
  <si>
    <t>Regi India Cosmetics Pvt. Ltd</t>
  </si>
  <si>
    <t>STELLA INDUSSTRIES LIMITED</t>
  </si>
  <si>
    <t>Old Khandsa Road,Sector 37, Hsiidc, Gurugram</t>
  </si>
  <si>
    <t>Stella Indusstries Limited</t>
  </si>
  <si>
    <t>TEXTILE WORLD</t>
  </si>
  <si>
    <t>Rishalu Road, Village Sewah.</t>
  </si>
  <si>
    <t>Textile World</t>
  </si>
  <si>
    <t>The current sources lack audited ESG metrics. These firms are largely associated with private regional clusters whose detailed reports are not present. No BRSR filing found (private company, not required to file); no sustainability report on company site; not a CDP discloser. 
Uses NSEZ Grid. 
Water Management through Water Monitoring System
Waste Management : Glue-Free processes implemented in production.
Search record: No sustainability disclosure found; company registration confirmed via company's web page.</t>
  </si>
  <si>
    <t>IFU Audited
In-Factory Usage / Unit Audit: It certifies that the manufacturing facility and its production processes (such as adhesive use, fabric assembly, wiring, and finishing) adhere to safety, chemical management, and operational standards directly on the shop floor.</t>
  </si>
  <si>
    <t>TULIP APPARELS PVT. LTD.</t>
  </si>
  <si>
    <t>50-51, HSIIDC.Barhi Industrial Area,</t>
  </si>
  <si>
    <t>TULIP APPARELS PVT LTD</t>
  </si>
  <si>
    <t>Tulip Apparels Pvt Ltd</t>
  </si>
  <si>
    <t>Coal-Free</t>
  </si>
  <si>
    <t>International</t>
  </si>
  <si>
    <t>Gr. Noida, Site-C</t>
  </si>
  <si>
    <t>Sustainability - R. S. Printfab Pvt Ltd
rsprintfab.com</t>
  </si>
  <si>
    <t>WFB BAIRD &amp; COMPANY (INDIA) PVT LTD</t>
  </si>
  <si>
    <t>PLOT NO 45/25,, CSEZ KAKKANAD, Cochin</t>
  </si>
  <si>
    <t>Wfb Baird &amp; Company (India) Pvt Ltd</t>
  </si>
  <si>
    <t xml:space="preserve">Operates within the Laxmi Fab Dye cluster; reports focus on local environmental compliance.
The company does not publish a standalone, formal annual ESG or Sustainability Report.
Thermal Energy Sourcing: Utilizes Biomass for process heating/boiler operations.Water Management: Operates water-saving and water-reuse systems within its dyeing and printing unit in Noida/Greater Noida.Waste Recycling: Implements polyester/waste fabric recycling and reuse mechanisms.Solar Energy: Incorporating solar power facilities to offset grid electricity consumption.
Water Management &amp; Conservation: Implements water-saving technologies and automated liquid management practices across their dyeing and printing processing lines.
Recycling &amp; Circularity: Actively engaged in recycling and reusing polyester materials, transforming waste fabrics into usable material.
Energy &amp; Emissions: Incorporating solar energy capacity to offset grid electricity and relying on Biomass for thermal energy needs.
Safety &amp; Workplace: Maintains plant safety standards, staff welfare, and women empowerment programs within their integrated unit in Greater Noida.
</t>
  </si>
  <si>
    <t>R.S. Printfab Private Limited displays the following certifications, standards, and accreditations: Management &amp; Systems ISO CertificationsISO 14001:2015 — Environmental Management SystemISO 9001:2015 — Quality Management SystemISO 45001:2018 — Occupational Health and Safety Management System Sustainability &amp; Compliance AccreditationsHigg Index — Environmental and social impact assessment toolOEKO-TEX Confidence in Textiles — Tested for harmful substancesBCI (Better Cotton Initiative) — Sustainable cotton sourcing frameworkSedex — Ethical supply chain &amp; social audit standardsZDHC  — Zero Discharge of Hazardous Chemicals initiativeINDITEX — Approved supplier compliance framework</t>
  </si>
  <si>
    <t>https://www.aartiinternational.com/sustainability.php</t>
  </si>
  <si>
    <t>No BRSR filing found (private company, not required to file); no sustainability report on company site; not a CDP discloser.
1. Water Management &amp; Recycling
Zero Liquid Discharge (ZLD): Operates a fully functional 2 MLD (Million Liters per Day) ZLD ETP Plant, achieving a 92% to 95% water recovery rate.
Condensate Recovery: Collects MEE (Multiple Effect Evaporator) condensate water and reintroduces it back into production processes.
Low Liquor Ratio Processing: Utilizes dyeing machines engineered with low liquor ratios to minimize unit water consumption.
2. Renewable Energy &amp; GHG Reduction
Total Installed Solar Power: 11.6 MW rooftop solar power across manufacturing sites to generate green power and cut greenhouse gas (GHG) emissions:
10 MW rooftop solar capacity at the Spinning Unit.
1.6 MW rooftop solar capacity at the Knits Processing Unit.
3. Sustainable Chemical Management
ZDHC Engagement: Committed to the Zero Discharge of Hazardous Chemicals (ZDHC) initiative to implement safe and green chemical practices.
Automated Chemical Dispensing: Features auto-dispensing systems for dyes and chemicals to eliminate manual waste and overconsumption.
4. Raw Materials &amp; Global Certifications
Eco-Friendly Sourcing: Produces textiles using certified sustainable raw materials.
Global Certifications Held:
GOTS (Global Organic Textile Standard)
OCS (Organic Content Standard)
GRS (Global Recycled Standard)
OEKO-TEX Standard 100
Solar 11.6 MWp is the sum of two separately stated rooftop installations - 10 MW at the AIL Spinning Unit and 1.6 MW at the AIL Knits Processing Unit. No combined total is published. CAUTION: the SBTi register contains "Aarti Steel International Limited" (Committed), a different group company - this textile entity is not on the register and must not inherit that status.</t>
  </si>
  <si>
    <t>Certifications
OEKO -TEX Standard 100
Quality Management System -QMS (ISO 9001:2015 Certified Company)</t>
  </si>
  <si>
    <t>Salem</t>
  </si>
  <si>
    <t>60% Solar</t>
  </si>
  <si>
    <t>Benetton</t>
  </si>
  <si>
    <t>Flax/Linen</t>
  </si>
  <si>
    <t>Salem, TN</t>
  </si>
  <si>
    <t>https://alctex.com/</t>
  </si>
  <si>
    <t xml:space="preserve">No BRSR filing found (private company, not required to file); no sustainability report on company site; not a CDP discloser. Uses CARE Ratings as a proxy for operational transparency; verifies 60% solar and 99.5% ZLD water recycling.
Solar Energy: 18.27 MW captive rooftop solar capacity (meeting ~60% of operational power needs).
Water Recycling: Zero Liquid Discharge (ZLD) Effluent Treatment Plant achieving a 99.5% water recycling rate.
Flax &amp; Raw Material Capability: Certified under Masters of FLAX FIBRE™, alongside Organic Cotton (GOTS) and BCI sourcing.
5 Million Calories (MCal) of thermal energy saved through heat recovery systems (such as steam condensate recovery or waste heat recovery units in their dyeing/finishing plants).
Salt Recovery Systems integrated within their Zero Liquid Discharge (ZLD) effluent treatment process. In textile dyeing operations, sodium chloride/sulfate salts are extracted and recovered from wastewater so they can be reused in processing rather than discharged as hazardous waste.
</t>
  </si>
  <si>
    <t>Flax Master
Arthanari Loom Centre holds the official "Masters of FLAX FIBRE™" certification from the Alliance for European Flax-Linen and Hemp (Certificate No. BVFR30409891).</t>
  </si>
  <si>
    <t>Bag&amp;Belt, Footwear, Jersey</t>
  </si>
  <si>
    <t>Luxury Brands</t>
  </si>
  <si>
    <t>Okhla &amp; Gr. Noida</t>
  </si>
  <si>
    <t>https://daksindia.com/wp-content/uploads/2026/06/DAKS-SUSTAINIBILITY-REPORT-FINAL.pdf</t>
  </si>
  <si>
    <t>Though public profile highlights an aggressive 100% renewable energy target by 2025, but no confirmation disclosure found from company.
No BRSR filing found (private company, not required to file); no sustainability report on company site; not a CDP discloser
Renewable Energy &amp; Clean Operations100% Renewable Target: Aggressively transitioning facilities to run on 100% renewable energy.On-Site Solar PV: Installed solar panel arrays on factory rooftops (e.g., unit B1 operates as a primary solar-powered plant).Clean Fuel Conversion: Replaced conventional diesel steam boilers and machinery with Piped Natural Gas (PNG) systems, yielding up to 60% electricity savings and reduced emissions.Logistics: Utilizes CNG-powered transport vehicles for internal logistics to reduce Scope 1 transport emissions. Water Stewardship &amp; Waste RecyclingEffluent Treatment Plant (ETP): In-house ETP systems process and treat factory wastewater for recycling in production or groundwater recharge.Rainwater Harvesting: Facilities feature integrated rainwater harvesting systems to recharge local water tables.Waste Management: Implements strict solid waste segregation (glass, metal, plastic, paper) and lamp-crushing units for safe disposal and recycling
Sustainability Performance Report FY2025-26, GRI Standards 2021 (Core). IMPORTANT BOUNDARY: the report covers ONE SITE only - B-1, EPIP Site-V, Kasna, Greater Noida, on an operational-control basis - and explicitly excludes the other DAKS units (D-37, B-02, F-33/5 Okhla). These figures are site-level, not company-wide. Also disclosed: solar generation 38.96 MWh, water recycled 373.56 KL, rainwater harvested 162 KL, waste recovery 73.55%, local procurement 35%. Certifications ISO 9001/14001/45001, SA 8000, FSC, FEM, GSV; supply chain EcoVadis-assessed. Targets (not actuals): carbon neutrality by 2040, 100% renewable at B-1 by 2027, 90% waste recovery by 2028.</t>
  </si>
  <si>
    <t>ESG / Sustainability Tier: Indicates that the facility holds an external Silver Rating / Medal for Corporate Social Responsibility (CSR) &amp; ESG performance.
EcoVadis / Standard Reference: Represents an EcoVadis Silver Medal or equivalent third-party ESG benchmark</t>
  </si>
  <si>
    <t>Public Limited / Listed</t>
  </si>
  <si>
    <t>Primark, Walmart, H&amp;M, Marks &amp; Spencer, ASDA, K-Mart</t>
  </si>
  <si>
    <t>Cotton (major), Organic Cotton, Viscose</t>
  </si>
  <si>
    <t>India (mainly South &amp; West India)</t>
  </si>
  <si>
    <t>23rd AGM Notice and Annual Report for the Financial Year 2025–26 of K.P.R. Mill Limited.
https://nsearchives.nseindia.com/corporate/KPRMILL_27062026114004_23RDAGMNOTICEANNUALREPORT.pdf</t>
  </si>
  <si>
    <t>Subsidiary/division of K.P.R. Mill Limited - not counted separately. Reports only at parent level; unit-level figures are not separately disclosed.</t>
  </si>
  <si>
    <t>Centex CARE Rating
https://www.careratings.com/upload/CompanyFiles/PR/CENTEX%20INTERNATIONAL%20PRIVATE%20LIMITED-03-18-2016.pdf</t>
  </si>
  <si>
    <t xml:space="preserve">CARE Ratings rationales provide audited financial and operational transparency for this private entity.
No BRSR filing found (private company, not required to file); no sustainability report on company site; not a CDP discloser
</t>
  </si>
  <si>
    <t>Home Retail</t>
  </si>
  <si>
    <t>Handicrafts</t>
  </si>
  <si>
    <t>https://designco-india.com/production-process.php</t>
  </si>
  <si>
    <t>Formally listed in the global SBTi registry as committed to obtaining Net-Zero certification.
No BRSR filing found (private company, not required to file); no sustainability report on company site; not a CDP discloser
Designco focuses its sustainability initiatives and community engagement around several key programs, as outlined in their corporate structure:
Saamarthya: A focused initiative directed toward empowering individuals and communities through skill-building, capability enhancement, and developmental support.
Karma-Chetna: A program aimed at fostering social consciousness, ethical responsibility, and community welfare awareness.
Access to Education: Initiatives dedicated to improving educational opportunities and learning infrastructure for underprivileged groups.
Access to Clean Water: Projects focused on ensuring safe, clean, and reliable drinking water sources for local communities.
Access to Energy: Efforts aimed at promoting sustainable energy solutions and better power accessibility.
Our Sustainability Guiding Force: The core leadership and philosophical framework driving Designco's overarching environmental and social commitments throughout its supply chain.
No entity-level disclosure. AFFILIATE NOTE: a separate legal entity, DESIGNCO PRIVATE LIMITED (CIN U74994UP2018PTC101951), sharing the Lakri Fazalpur Moradabad address and the Lohia promoters, HAS validated SBTi near-term and net-zero targets (ID 40008573, published 13/11/2025; 60% absolute Scope 1+2 by 2034 and 90% by 2050 from a 2024 base). That is a DIFFERENT CIN from this supplier row (U36942UP2021PTC148410) and must not be recorded as this entity's. The Lohia group also owns a wind-energy business - likewise not attributable here.</t>
  </si>
  <si>
    <t>FIEO Award
IEO: Federation of Indian Export Organisations (set up by the Ministry of Commerce, Government of India).Award Citation: Refers to the Niryat Shree / FIEO Export Excellence Award awarded to the company for outstanding export performance, quality compliance, and international trade practices.</t>
  </si>
  <si>
    <t>grasim-industries</t>
  </si>
  <si>
    <t>Not Committed</t>
  </si>
  <si>
    <t>16% renewable energy in total energy mix by FY30</t>
  </si>
  <si>
    <t>No formal coal phase-out date</t>
  </si>
  <si>
    <t>Paints (retail+B2B), Cellulosic Fibres (viscose/VSF), Chemicals (caustic soda, chlorine), Cement (via UltraTech)</t>
  </si>
  <si>
    <t>Wood pulp (FSC/SFI/PEFC certified), Cotton (Textiles), Caustic soda inputs, Limestone (Cement)</t>
  </si>
  <si>
    <t>India (multi-state: MP, Gujarat, Karnataka, Rajasthan, etc.) + International (Sri Lanka, UAE, Bangladesh)</t>
  </si>
  <si>
    <t>kpr-mill</t>
  </si>
  <si>
    <t>33% of power from solar</t>
  </si>
  <si>
    <t>Rooftop Solar</t>
  </si>
  <si>
    <t>PNG Commission</t>
  </si>
  <si>
    <t>Ralph Lauren</t>
  </si>
  <si>
    <t>India, the Far East, and Italy</t>
  </si>
  <si>
    <t>https://alpineapparels.com/who-we-are/</t>
  </si>
  <si>
    <t>The current sources lack audited ESG metrics. These firms are largely associated with private regional clusters whose detailed reports are not present. 
No BRSR filing found (private company, not required to file); no sustainability report on company site; not a CDP discloser.
At  Alpine Apparels, sustainability and ESG (Environmental, Social, and Governance) principles are integrated into manufacturing operations, supply chain management, and corporate culture.
Key focus areas include:
Responsible Manufacturing &amp; Compliance:The company enforces rigorous ethical manufacturing standards, ensuring adherence to local labor laws, safety regulations, and global ESG policies across internal divisions and external supplier networks.
Industry Audits &amp; Frameworks: Operations incorporate standard compliance tools and environmental assessments—such as the Higg Index Facility Environmental Module (FEM) and the Social &amp; Labor Convergence Program (SLCP)—to systematically track and minimize environmental footprints.
Data-Driven ESG Tracking:  Alpine monitors key sustainability Key Performance Indicators (KPIs), maintaining detailed records on employee welfare, workplace diversity, health and safety, and governance practices.
Sustainable Material Innovation: Across divisions (such as leather goods, lifestyle accessories, and specialized home products like leather wall tiles), the company utilizes treated hides, traditional craftsmanship paired with modern non-toxic/eco-friendly chemical treatments, and durable designs aimed at longevity.
Corporate Social Responsibility (CSR) &amp; Training: Continuous internal training programs are conducted to build workforce awareness regarding workplace ethics, safety protocols, and sustainability objectives, alongside active community engagement.
Company discloses only: PNG plant to cut fossil-fuel reliance by up to 25% (target), solar reducing carbon footprint by 143 tonnes/year, and 4,819 KL of RO water recycled in 2022. No emissions, energy total, renewable share or water withdrawal figure is published.</t>
  </si>
  <si>
    <t>ISO 9001:2015 certified</t>
  </si>
  <si>
    <t>Organic resin, wood, lead-free alloy</t>
  </si>
  <si>
    <t>New Delhi, Delhi</t>
  </si>
  <si>
    <t>https://tracxn.com/d/legal-entities/india/vinty-impex-private-limited/___YnxhMAM7prQWkbnQjNtYAjYCExStT2IQnwt3F0R1Xo</t>
  </si>
  <si>
    <t>The current sources lack audited ESG metrics. These firms are largely associated with private regional clusters whose detailed reports are not present. No BRSR filing found (private company, not required to file); no sustainability report on company site; not a CDP discloser. No sustainability disclosure found; company registration confirmed via Tracxn.
Search record: BRSR report, Sustainability Disclosure, Annual Report, CDP disclosure searched via google, no sustainability disclosure found; company registration confirmed via Tracxn, Indiamart.</t>
  </si>
  <si>
    <t>Fashion Jewelry</t>
  </si>
  <si>
    <t>Non-ferrous and ferrous castings</t>
  </si>
  <si>
    <t>Moradabad, Uttar Pradesh</t>
  </si>
  <si>
    <t>CRISIL Rating Rationale
https://www.crisilratings.com/mnt/winshare/Ratings/RatingList/RatingDocs/A.C.%20Brothers-RU-30-07-2026.pdf</t>
  </si>
  <si>
    <t xml:space="preserve">The current sources lack audited ESG metrics. These firms are largely associated with private regional clusters whose detailed reports are not present. No BRSR filing found (private company, not required to file); no sustainability report on company site; not a CDP discloser. 
</t>
  </si>
  <si>
    <t>CRISIL BBB-</t>
  </si>
  <si>
    <t>Family-owned</t>
  </si>
  <si>
    <t>Natural Gas</t>
  </si>
  <si>
    <t>Clean natural gas switch</t>
  </si>
  <si>
    <t>Recycled PET, BCI cotton, RWS wool</t>
  </si>
  <si>
    <t>Bhadohi, Uttar Pradesh</t>
  </si>
  <si>
    <t>Champo Official Profile
https://champoofficial.com/</t>
  </si>
  <si>
    <t>The current sources lack audited ESG metrics. These firms are largely associated with private regional clusters whose detailed reports are not present. No BRSR filing found (private company, not required to file); no sustainability report on company site; not a CDP discloser.
Sustainable Raw Materials: Explicitly sources certified eco-friendly fibers, including Better Cotton Initiative (BCI) cotton, Responsible Wool Standard (RWS) certified wool, and 100% recycled polyester (PET) spun from post-consumer plastic bottles.   
Eco-Packaging Initiatives: Replaced single-use plastics across key packaging workflows with reusable cloth bags.   
Social Impact &amp; DEI:
Implements strong Diversity, Equity, and Inclusion (DEI) standards—notably, 20% of their textile department and 100% of yarn-opening operations are managed by female workers.   
Partners with Project Baala to supply free, sustainable menstrual hygiene solutions to female employees.   
Engages in local environmental uplifting, planting roughly 5,000 tree saplings annually in partnership with the Ministry of Forest and Environment.
Certification logos on the company site (FSC C009732, OEKO-TEX 100, GOTS, OCS, BCI, ISO 9001, OHSAS 18001) are displayed as images only and are not verified against the issuing registries. Recorded as claims, not disclosures.</t>
  </si>
  <si>
    <t>GoodWeave
GoodWeave is an internationally recognized certification system and non-profit organization (founded by Nobel laureate Kailash Satyarthi) dedicated to eliminating child, forced, and bonded labor from global supply chains—most notably in industries like handmade rugs, home textiles, and fashion accessories.</t>
  </si>
  <si>
    <t>Metal/LED</t>
  </si>
  <si>
    <t>Noida SEZ</t>
  </si>
  <si>
    <t>csr_policy_neokraft.pdf
https://www.neokraft.in/sustainability.html</t>
  </si>
  <si>
    <t>Noida-based; ISO 14001 certified with verified reporting on rooftop solar (0.35 MWp).
Certifying bodies (such as DQS) list ISO 14001 certification under the operational compliance scope for Neokraft Global Pvt. Ltd. (covering the manufacture of home lighting and home furnishings), demonstrating an institutional commitment to structured environmental management alongside internal initiatives like tree-planting drives, energy conservation, and workplace safety.
Google search indicates ISO14001 certification, but no disclosure on the company website to confirm
No BRSR filing found (private company, not required to file); no sustainability report on company site; not a CDP discloser
Highlights operational initiatives focused on circular waste management, material reuse, and zero-waste process integration.</t>
  </si>
  <si>
    <t>Even though they operate out of the Noida Special Economic Zone (NSEZ) and supply retail giants like IKEA and H&amp;M Home, their exact scoring details remain confidential. Global brands use private third-party platforms to score their vendors, meaning Neokraft’s data is kept within secure business-to-business networks. H&amp;M Supplier Sustainability Index: H&amp;M evaluates its home and textile supply chain using the Higg Index or internal sustainability commitment metrics. These audits generate internal point-based scores that dictate vendor tiering (e.g., strategic vs. transactional supplier). rivate ESG Rating Networks: It is highly probable that Neokraft maintains a private scorecard on EcoVadis or Sedex (SMETA audits). These platforms allow private manufacturers to securely share their audited ESG data, labor practices, and safety scores directly with verified corporate buyers.</t>
  </si>
  <si>
    <t>Navi Mumbai</t>
  </si>
  <si>
    <t>Cleaner Fuel</t>
  </si>
  <si>
    <t>Replaced with cleaner fuels</t>
  </si>
  <si>
    <t>Target, H&amp;M</t>
  </si>
  <si>
    <t>Raw metals (precious and base)</t>
  </si>
  <si>
    <t>Navi Mumbai and Gujarat</t>
  </si>
  <si>
    <t>https://tracxn.com/d/legal-entities/india/radium-creation-private-limited/__mB2Va3E2xtGNfqhzDdlNb4C9XQ2UsVUuZPxSBwGtR5o</t>
  </si>
  <si>
    <t>No sustainability disclosure found; company registration confirmed via Tracxn. The current sources lack audited ESG metrics. These firms are largely associated with private regional clusters whose detailed reports are not present.
No BRSR filing found (private company, not required to file); no sustainability report on company site; not a CDP discloser.
Radium Creation emphasizes several social and corporate responsibility initiatives as part of its organizational values:Women Empowerment: Actively enhances gender balance by promoting diversity, creating leadership opportunities for women internally, and supporting women economically across the supply chain.Employee Welfare: Prioritizes workforce well-being through continuous skill development, target-driven progression, corporate responsibility, and health and safety standards.Ethical Compliance: Focuses on adhering strictly to legal mandates, fair labor practices, and ethical training guidelines.
Indicates that energy consumption data is formally tracked through accounting-based carbon and utility tracking protocols rather than a direct green-energy percentage mix.
Specifies that water utilization and industrial wastewater management are tied directly to electroplating processes, requiring specialized chemical rinsing and treatment streams.
Search record: BRSR report, Sustainability Disclosure, Annual Report, CDP disclosure searched via google, no sustainability disclosure found; company registration confirmed via Tracxn.</t>
  </si>
  <si>
    <t>Star Exp House
in Indian foreign trade and manufacturing, a Star Export House designation is an official status granted by the Directorate General of Foreign Trade (DGFT) to Indian businesses that have achieved specific export performance thresholds over preceding financial years.</t>
  </si>
  <si>
    <t>Sole Prop.</t>
  </si>
  <si>
    <t>54 Countries</t>
  </si>
  <si>
    <t>DTF inks, hot melt powders</t>
  </si>
  <si>
    <t>Noida and New Delhi</t>
  </si>
  <si>
    <t>https://www.justdial.com/Noida/Rastogi-Enterprises/011PXX11-XX11-190814004553-Q2G8_BZDET</t>
  </si>
  <si>
    <t>No sustainability disclosure found; company registration confirmed via Tracxn. The current sources lack audited ESG metrics. These firms are largely associated with private regional clusters whose detailed reports are not present.No BRSR filing found (private company, not required to file); no sustainability report on company site; not a CDP discloser.
Search record: No sustainability disclosure found; company registration confirmed via Justdial.
At least three same-family names exist - Rastogi Enterprises (Moradabad), Rastogi Export Products (Moradabad, est. 1970) and Rastogi Handicrafts (Jaipur, est. 1995). Do not merge.</t>
  </si>
  <si>
    <t>40% by 2025; signed a 25-year PPA to increase the RE share to approximately 60%; long-term goal of 90% by 2030.</t>
  </si>
  <si>
    <t>On track to eliminate coal use across all plants by 2029. Has already installed a 20 TPH biomass-fired boiler to reduce dependence.</t>
  </si>
  <si>
    <t>H&amp;M, Zara</t>
  </si>
  <si>
    <t>Ready-made Garments</t>
  </si>
  <si>
    <t>https://paramountproducts.in/infrastructure.php</t>
  </si>
  <si>
    <t>No BRSR filing found (private company, not required to file); no sustainability report on company site; not a CDP discloser.
Employee count conflicts across sources (5,000+ vs 7,000) depending on how recent the source is — used the more recent OGTC figure but flagged for QA to confirm against a primary source. BSCI/ETI/ICS/SEDEX are social/labour-audit certifications, not environmental ones — do not treat as GOTS/ISO14001 equivalents. No Scope 1/2, energy, or water figures found; company is privately/family-held, not BRSR-mandated.
1. Environmental Initiatives
Clean Energy Integration: The company incorporates renewable energy solutions, including the installation of solar power rooftop panels across its production facilities to curb its reliance on conventional power.
Water Management: Facilities utilize rainwater harvesting mechanisms to support groundwater recharging and resource conservation.
Resource Optimization: Group-wide environmental management systems focus on tracking, minimizing, and efficiently regulating the carbon and ecological footprints of manufacturing units.
2. Certifications and Audits
Sustainable Standards: Operations align with key global standards and textile certifications—such as the Global Organic Textile Standard (GOTS), Global Recycled Standard (GRS), and the Better Cotton Initiative (BCI).
Performance Assessment Tools: The organization applies evaluation tools like the Higg Index and Social &amp; Labor Convergence Program (SLCP) frameworks to systematically measure environmental impact and factory conditions.
Rigorous Auditing: Manufacturing units undergo periodic compliance evaluations conducted by independent third parties and major international buyers.
3. Social and Worker Welfare
Paramount Products carries out targeted programs centered on workforce well-being, community engagement, and skill development:
Healthcare &amp; Empowerment Initiatives: Programs like the HER Project (focusing on worker health awareness) and the We Women Project are implemented to support female workforce empowerment and medical well-being.
Training &amp; Productivity: Initiatives like the RAGS Project prioritize skill building and productivity growth, while programs like the SWAR Project drive awareness regarding energy conservation and sustainable habits among personnel.
Health and Safety: Strict adherence to health, safety, and labor regulations ensures a secure working environment across all production units.
Search record: No sustainability disclosure found; company registration confirmed via company's web page.
Paramount states rooftop solar saves "10-15% of electricity purchased from State Electricity Boards" - that is avoided grid purchase, not renewable share of energy, so it is not entered in the Renewable Energy % column. The reported 25-year renewable PPA could not be confirmed in any acceptable source; searches conflate this company with Paramount Textile Ltd (Bangladesh), a different company.</t>
  </si>
  <si>
    <t>Higg/SLCP
It indicates the facility uses standardized, third-party verified assessments covering both environmental (Higg FEM) and social/labor (SLCP) pillars. H&amp;M accepts these combined disclosures from Tier 1 and Tier 2 suppliers to track full ESG performance without requiring redundant internal</t>
  </si>
  <si>
    <t>Vaniyambadi</t>
  </si>
  <si>
    <t>Leather Mfg</t>
  </si>
  <si>
    <t>Primark Inc</t>
  </si>
  <si>
    <t>Raw bovine, sheep, and goat hide</t>
  </si>
  <si>
    <t>Vaniyambadi, Tamil Nadu</t>
  </si>
  <si>
    <t>https://www.axaleathergroup.com/</t>
  </si>
  <si>
    <t>The current sources lack audited ESG metrics. These firms are largely associated with private regional clusters whose detailed reports are not present. No BRSR filing found (private company, not required to file); no sustainability report on company site; not a CDP discloser.
Environmental &amp; Sustainability Practices at AXA Leather Group
AXA Leather Group maintains a strong commitment to balancing manufacturing operations with environmental responsibility. Their key sustainability initiatives and credentials include:
Environmental Policy: The company actively sets, monitors, and reviews specific targets and objectives focused on minimizing environmental impact and promoting sustainable industrial practices.
LWG Certification: Their tannery is audited and certified to Leather Working Group (LWG) standards, holding an LWG Gold Rated certification for responsible environmental manufacturing.
Recognized Standards &amp; Compliance: They maintain international compliance across environmental, energy, safety, and social accountability frameworks:
ISO 14001:2015 (Environmental Management)
ISO 50001:2011 (Energy Management)
OHSAS 18001:2007 (Occupational Health and Safety)
SA 8000 (Social Accountability)
SEDEX (Empowering Responsible Supply Chains)
Search record: No sustainability disclosure found; company registration confirmed via company website and Leather Working Group
Leather Working Group certified, rating SILVER (URN AQS001), continuously certified since 22 Aug 2014, audit expiry 04 May 2028. Traceability: physical 0%, documented 0%, group 0%, regional 28.68%, not traceable 71.32%.</t>
  </si>
  <si>
    <t>LWG Silver</t>
  </si>
  <si>
    <t>Proprietorship</t>
  </si>
  <si>
    <t>OGTC Members, H&amp;M, Tommy Hilfiger, Target, Benetton</t>
  </si>
  <si>
    <t>Woven Garments, Cotton, Viscose, Polyester</t>
  </si>
  <si>
    <t>CITI Annual-Report 2024-2025; OGTC - Gateway to Apparel Manufacturing
https://radnikauto.com/sustainability</t>
  </si>
  <si>
    <t>Subsidiary/division of Radnik Exports Global Pvt Limited - not counted separately. Reports only at parent level; unit-level figures are not separately disclosed.</t>
  </si>
  <si>
    <t>https://radnikexports.com/sustainability
https://sciencebasedtargets.org/target-dashboard</t>
  </si>
  <si>
    <t>Private company — no BRSR/CDP disclosure. Holds European Flax certification (dyeing/embroidering/end-product manufacturing), not GOTS/ISO14001. No BRSR filing found (private company, not required to file); no sustainability report on company site; not a CDP discloser.
SBTi: Two commitments dated 29/07/2021, both removed for expiry, never replaced by validated targets. Source: https://sciencebasedtargets.org/target-dashboard
The website markets SBTi alignment, "Net Zero by 2040" and "Net Zero by 2050" on the same page, while the SBTi register shows the commitment was removed for expiry in 2021. Verified actual: 366 kW rooftop solar installed. The "55% renewable electricity" figure sits inside a forward roadmap, not a disclosure.</t>
  </si>
  <si>
    <t>CITI Winner
"CITI Winner" refers to a recipient of the national CITI Textile Sustainability Awards &amp; CITI-Birla Awards. Awarding Body: Organized annually by the Confederation of Indian Textile Industry (CITI) in partnership with the Ministry of Textiles.Scope of Recognition: Acknowledges Indian textile and apparel manufacturers for excellence in:Excellence in Carbon Emissions Reduction / Low Carbon FootprintBest Alternate Materials UseWater Management &amp; ConservationRenewable Energy Integration &amp; HR PracticesRadnik Exports Global Pvt Ltd (Row 7): Recognized as a CITI Winner for Excellence in Carbon Emissions Reduction / Achieving ESG Compliance through Innovations.</t>
  </si>
  <si>
    <t>Denim, Jersey, Knitted, Woven</t>
  </si>
  <si>
    <t>Not a member</t>
  </si>
  <si>
    <t>100% coal-free in garmenting</t>
  </si>
  <si>
    <t>Walmart, Gap Inc., Target, H&amp;M, Nike, Uniqlo, PVH, Abercrombie &amp; Fitch, C&amp;A, Calvin Klein, Columbia Sportswear, Inditex, Kohl's</t>
  </si>
  <si>
    <t>Cotton Fabric, Polyester Fabric, Viscose, Denim, Trims</t>
  </si>
  <si>
    <t>India, China, Bangladesh , Vietnam, Turkey</t>
  </si>
  <si>
    <t>50% renewable electricity target by FY 2026–27 (base year FY 2018–19)</t>
  </si>
  <si>
    <t>100% coal phase-out achieved in garmenting units</t>
  </si>
  <si>
    <t>Global apparel brands and retailers across the USA, Europe, Asia, and</t>
  </si>
  <si>
    <t>Cotton (organic, BCI, regenerative, and conventional)</t>
  </si>
  <si>
    <t>Karnataka and Tamil Nadu</t>
  </si>
  <si>
    <t>https://shahi.co.in/wp-content/uploads/2025/04/Shahi-Exports-Sustainability-Report-FY-2023-24-1.pdf</t>
  </si>
  <si>
    <t>Subsidiary/division of Shahi Exports - not counted separately. Reports only at parent level; unit-level figures are not separately disclosed.</t>
  </si>
  <si>
    <t>Eff. Boilers</t>
  </si>
  <si>
    <t>High-efficiency thermal boilers induced</t>
  </si>
  <si>
    <t>Knitted fabrics (GOTS/OCS)</t>
  </si>
  <si>
    <t>https://www.kpmprocessingmill.com/#sustainability</t>
  </si>
  <si>
    <t>No BRSR filing found (private company, not required to file); no sustainability report on company site; not a CDP discloser.
Minimal public ESG reporting; functions as an industrial processing unit.
Google search denotes CDP engagement but no disclosure via company website. Hence unable to confirm.
Sustainability Infrastructure &amp; Initiatives
Zero Liquid Discharge (ZLD) Facility: Operates an effluent treatment capacity of 24 lakh liters/day utilizing a multi-stage Reverse Osmosis (RO), Multiple Effect Evaporator (MEE), and Agitated Thin Film Dryer (ATFD) system for maximum water recovery.
Low-Impact Production: Minimizes freshwater consumption through efficient process integration and water reuse, resulting in significantly lower water, salt, and chemical usage.
Environmental Compliance: Fully compliant with Tamil Nadu Pollution Control Board (TNPCB) regulations, backed by robust, continuous monitoring and control systems.
Eco-Certifications &amp; Benchmarks
GOTS (Global Organic Textile Standard)
OEKO-TEX
Global Recycled Standard (GRS)
Higg Index
ISO 14001 (Environmental Management Systems Certification)
NOT related to K.P.R. Mill Limited despite the similar name - separate CIN (U17120TZ2010PTC016539), separate promoters, a job-work dyeing unit in Tirupur. The 7,800 TPA figure circulating in credit-rating coverage is installed dyeing capacity, not consumption, and a credit rating is not an ESG disclosure.</t>
  </si>
  <si>
    <t>Intl Apparel</t>
  </si>
  <si>
    <t>Katran, Musa, Circuleather</t>
  </si>
  <si>
    <t>https://www.seetkamal.com/sustainability.html</t>
  </si>
  <si>
    <t xml:space="preserve">No BRSR filing found (private company, not required to file); no sustainability report on company site; not a CDP discloser.
Eco-Innovations &amp; Sustainability:
Katran Paper: Upcycled, wood-free paper made from shredded cotton fabric waste.  Instead of using virgin wood pulp, Seet Kamal creates wood-free paper by processing shredded pre-consumer cotton fabric waste into rag pulp (Katran Paper line).The in-house pulp recycling process operates alongside a zero liquid discharge / wastewater recycling system that reclaims and reuses water in the papermaking process.
Musa &amp; Circuleather: Eco-innovations including bio-leather made from banana fiber/sheep wool (Musa) and recycled leather waste (Circuleather).   
Optimized Paper Honeycomb &amp; Pulp Processing: Uses energy-efficient hydraulic presses and low-energy mechanical repulping systems for paper waste processing.
Heat/Drying Recovery: Employs optimized air-drying and ambient moisture curing techniques for handmade paper decor products to minimize active energy load during manufacturing.
Certifications &amp; Recognition: Uses FSC-certified paper, ISO 9001 quality standards, and holds the FORHEX Green Award for ecological practices. 
The current sources lack audited ESG metrics. These firms are largely associated with private regional clusters whose detailed reports are not present in the provided snippets. </t>
  </si>
  <si>
    <t>FORHEX Green Award
Organization Background: FORHEX refers to the Federation of Rajasthan Handicraft Exporters, a major trade body representing export manufacturers across Rajasthan.Award Purpose: The FORHEX Green Award is an industry recognition awarded to regional handicraft and export businesses that adopt responsible, eco-friendly manufacturing practices, sustainable material usage, and waste reduction methods.</t>
  </si>
  <si>
    <t>Shahi Exports Pvt. Ltd ( Unit Sarla)</t>
  </si>
  <si>
    <t>Phased out entirely in one mill, with active transition progressing</t>
  </si>
  <si>
    <t>https://www.viswastextile.com/copy-of-infrastructure</t>
  </si>
  <si>
    <t>No BRSR filing found (private company, not required to file); no sustainability report on company site; not a CDP discloser.
The provided sources lack specific audited metrics or corporate profiles. These private firms are largely associated with regional clusters whose detailed reports have not yet been imported into the current dataset.
Spelled both Viswas and Vishwas; "Azure" is a trading name of the same firm, not a separate company. Located Bangalore (Mysore Road), not Erode - Erode ZLD cluster material does not apply.</t>
  </si>
  <si>
    <t>Integration of RE to support its organic cotton manufacturing cluster.</t>
  </si>
  <si>
    <t>Kesko (mywear), H&amp;M, Walmart, HBI (Hanesbrands), J.C. Penney, and other global apparel brands.</t>
  </si>
  <si>
    <t>Performance ThermalsCotton (Comprising conventional and certified organic cotton fibers, yarn, and textiles processed for knitwear and thermals).</t>
  </si>
  <si>
    <t>TirupurTirupur and Perundurai</t>
  </si>
  <si>
    <t>Kesko Report
https://www.shakthiknitting.com/Social/Social.htm</t>
  </si>
  <si>
    <t xml:space="preserve">Uses BCI and organic cotton per a recent academic profile, but no GOTS/ISO14001 confirmed specifically for Shakthi Knitting Private Limited itself, and no Scope 1/2, energy, or water figures found. 
Environmental Infrastructure : Features an in-house Zero Liquid Discharge (ZLD) Site for wastewater treatment alongside ongoing Solar Capacity Pilot Expansion.
Shakthi Knitting remains a benchmark for ethical sourcing in the Tirupur cluster. It is the verified manufacturer for Kesko’s (mywear) organic T-shirts, with a supply chain that is fully traceable from Indian cotton farms to European retail shelves
No BRSR filing found (private company, not required to file); no sustainability report on company site; not a CDP discloser.
Colorsburg is one of India's most sophisticated facilities, specializing in the manufacture of high quality, weft-knitted, core and performance fabrics. Equipped with the latest technology to handle, growing needs of an ever changing fashion world.
Colorsburg is a major supplier to apparel manufacturers throughout Asia and apparel retailers. Amongst its customers are Marks &amp; Spencer, Hennes &amp; Mauritz, and JC Penny etc…
Infrastructure at the facility enables capacity to dye and finish up to one million meters a month.
As part of the company wide initiatives to adopt more environment friendly initiatives the company was awarded the prestigious Oeko-Tex Standard 100 Certification, an internationally recognized test for harmful substances present in textile manufacture, which is now the benchmark for quality and safety amongst the textile industry in Europe.
The utmost importance is attached to in particular all waste, emission and by products in the manufacture of weft knitted fabrics to promote environmental sustainability. Colorsburg aims to minimize the environmental impact of operations by compliance with all environmental legislation. This is augmented by reducing waste generation, contamination of water, air and land and raising awareness of this policy among all employees.
</t>
  </si>
  <si>
    <t>WRAP Grade A
WRAP (Worldwide Responsible Accredited Production) certification.
Grade / Level: Grade A (Gold Certificate of Compliance).
Meaning: Awarded to facilities that demonstrate full compliance with all 12 WRAP principles for ethical manufacturing, human resources, labor rights, environmental standards, and customs compliance over consecutive audit cycles.</t>
  </si>
  <si>
    <t>Regional</t>
  </si>
  <si>
    <t>Cotton Readymade</t>
  </si>
  <si>
    <t>https://www.amitexports.com/</t>
  </si>
  <si>
    <t>The provided sources lack specific audited metrics or corporate profiles. These private firms are largely associated with regional clusters whose detailed reports have not yet been imported into the current dataset. No BRSR filing found (private company, not required to file); no sustainability report on company site; not a CDP discloser.
Search record: No sustainability disclosure found; company registration confirmed via Company Website.
SBTi near-term target VALIDATED: 42% absolute reduction in Scope 1+2 by 2030 from a 2024 base year, plus a commitment to measure and reduce Scope 3. 1.5C aligned, validated via the SME streamlined route, published 02/04/2026 (SBTi ID 40025634). This is a TARGET - no actual emissions figure is disclosed. IDENTITY CAVEAT: the register carries the name "AMIT EXPORTS" with no CIN or city, and the name is common in Indian trade. Confirm against the address on H&amp;M's supplier list before treating this as hard-linked.</t>
  </si>
  <si>
    <t>CEO-Led</t>
  </si>
  <si>
    <t>Intl. Retail</t>
  </si>
  <si>
    <t>Stainless Tableware</t>
  </si>
  <si>
    <t>https://www.cfart.org/product-category/christmas/</t>
  </si>
  <si>
    <t>No BRSR filing found (private company, not required to file); no sustainability report on company site; not a CDP discloser.
Sustainability Highlights:
Zero Waste - No BRSR filing found (private company, not required to file); no sustainability report on company site; not a CDP discloser.
Hand Crafted : Rather than using fully automated mass-production lines, products (such as barware, serveware, candle holders, and decorative accent pieces) are individually shaped, hammered, assembled, and finished using traditional Indian handicraft techniques.</t>
  </si>
  <si>
    <t>Ethical Craft
It refers to Ethical Craft / Artisanal Compliance Certification.Details:The supplier specializes in handcrafted metal products (barware, tableware, wall decor) produced by traditional Indian artisans in Moradabad, UP."Ethical Craft" indicates that the manufacturing process adheres to fair labor practices, safe working conditions, fair wages for craft artisans, and sustainable artisan-led production rather than exploited labor or unmonitored sub-contracting.This reference highlights social and human rights compliance for regional private handicraft clusters that lack formal corporate public BRSR/ESG filings.</t>
  </si>
  <si>
    <t>Subsidiary/division of Shakthi Knitting Private Limited - not counted separately. Reports only at parent level; unit-level figures are not separately disclosed.</t>
  </si>
  <si>
    <t>Gurugram</t>
  </si>
  <si>
    <t>Vert. Integ.</t>
  </si>
  <si>
    <t>Global Retail</t>
  </si>
  <si>
    <t>Corduroy/Premium</t>
  </si>
  <si>
    <t>Gurgaon/Kosi</t>
  </si>
  <si>
    <t>https://www.jaincord.com/sustainability/</t>
  </si>
  <si>
    <t>Jain Cord Industries is a major participant in the PM MITRA Textile Park scheme, with a proposed investment of ₹2,515 crore in the Dhar (Madhya Pradesh) hub, signaling a significant expansion of its manufacturing capacity within an integrated textile ecosystem
No BRSR filing found (private company, not required to file); no sustainability report on company site; not a CDP discloser.
Renewable Energy % noted : 35-45% (average value taken)
Water Management &amp; Conservation
Recycled Wastewater for Industry: Through the Aman Foundation (established in April 2018), textile processing industries on Behrampur Road in Gurugram coordinate with GMDA to use tertiary-treated recycled water from Sewage Treatment Plants (STPs) for industrial processes. This saves 6–7 million liters of fresh water daily.
Rainwater Harvesting: Rainwater harvesting systems are installed across all company facilities to recharge 100% of collected water into the ground and increase the water table. Additional reservoirs are planned for their new 187,000 sq. ft. facility at Kosi.
2. Energy and Emissions
Solar Energy Harvesting: A rooftop solar power unit with 1 MW capacity has been installed, estimated to cover 35% to 45% of the company's total electricity requirement (with an estimated investment of $1.25 million).
Biomass Energy &amp; Emission Reductions: The company utilizes 100% biomass energy and green power, driving a reported reduction in overall facility carbon emissions (CO2e emissions reduced by up to 82%).
3. Community and Green Initiatives
Tree Plantation Project: In collaboration with the Aman Foundation, tree plantation drives are conducted on government-appointed green belts. These trees are cared for over three years until they become self-sustainable and are irrigated primarily using recycled water from STPs.
Student Workshops: Conducting educational workshops to involve school students across Gurgaon in tree plantation drives and foster environmental responsibility.
Material Sourcing &amp; Transparency: Active promotion of certified organic and recycled cotton alternatives (such as participation in initiatives like the Trust US Cotton Protocol) to support sustainable supply chain traceability.
All environmental content on the company site is forward-looking: a planned 1 MW rooftop solar unit expected to cover 35-45% of electricity. Nothing is disclosed as achieved. The "100% biomass energy" and "82% CO2e reduction" claims circulating in search summaries do not appear on any company page.</t>
  </si>
  <si>
    <t>Sedex Aud.</t>
  </si>
  <si>
    <t>UK Retail</t>
  </si>
  <si>
    <t>Export Surplus Apparel</t>
  </si>
  <si>
    <t>Chennai/Salem</t>
  </si>
  <si>
    <t>https://linkuptextiles.com/sustainability/
Sustainability | Linkup Textiles Private Limited</t>
  </si>
  <si>
    <t>No BRSR filing found (private company, not required to file); no sustainability report on company site; not a CDP discloser.
Linkup Textiles integrates sustainability into its manufacturing processes, raw material selection, and supply chain management. According to their Sustainability page, the company follows these key steps:
Cotton: Uses 100% BCI (Better Cotton Initiative) Cotton across all products, with organic cotton used based on specific requirements.
Viscose Fabrics: Sourced to be eco-friendly and meet sustainable standards.
Polyester Fabrics: Utilizes recycled polyester depending on the nature of the fabric.
Labels and Accessories: Care labels are crafted using recycled PET bottles and recycled polyester fibers upon request.
Packaging and Materials: Polybags and threads are made using recycled materials where required, and all cartons feature FSC certification.</t>
  </si>
  <si>
    <t>SEDEX</t>
  </si>
  <si>
    <t>Intl. Market</t>
  </si>
  <si>
    <t>Leather Consultancy</t>
  </si>
  <si>
    <t>https://tracxn.com/d/legal-entities/india/saroj-leathers-india-private-limited/__gMASGUVK7_ewKfxYV07VE3XsjEiYbOfMk9pAx0lmrds#about</t>
  </si>
  <si>
    <t>No sustainability disclosure found; company registration confirmed via Traxcn. No BRSR filing found (private company, not required to file); no sustainability report on company site; not a CDP discloser.
Search record: No sustainability disclosure found; company registration confirmed via Company website.
Leather Working Group registry entry exists (URN SAR101) but its status is EXPIRED - no current rating and no traceability percentages published. This is "registry entry, certification lapsed", not "certified" and not "no disclosure". A separate member, Saroj Tanners (URN SAR102, certified since 2014), is a different site - do not attribute its status here.</t>
  </si>
  <si>
    <t>LWG Exp.
It tracks the expiration status or date of a supplier’s Leather Working Group (LWG) environmental audit certification.</t>
  </si>
  <si>
    <t>Avanashi</t>
  </si>
  <si>
    <t>100% (2026)</t>
  </si>
  <si>
    <t>Kids Brands</t>
  </si>
  <si>
    <t>Knitted Garments/Yarn</t>
  </si>
  <si>
    <t>https://www.srgapparels.com/sustainabilit</t>
  </si>
  <si>
    <t>Srg Apparels Pvt Ltd has set an aggressive sustainability roadmap, including targets for 100% renewable energy by 2026, Zero Waste to Landfill by 2030, and Net-Zero status by 2045. The company is currently digitizing its emissions data using GreenStitch to move away from manual reporting.
Google search indicates  GOTS certification, but no disclosure on the company website to confirm
No BRSR filing found (private company, not required to file); no sustainability report on company site; not a CDP discloser.
Planet-Centric Initiatives
Water Conservation:
Utilizes Zero Liquid Discharge (ZLD) systems achieving a 95% water recovery rate.
Reduced water use per kilogram of dyed garments from 63 liters down to 45 liters.
Target: A 10% freshwater reduction by 2030 (and a 50% reduction by 2035).
Energy Management:
Operates on 70% renewable energy (38% solar and 32% wind) alongside 30% grid power.
Features 11.30 MW of captive green power capacity.
Chemical Management:
Achieved 97.8% compliance with ZDHC MRSL standards for safe chemical use.
Scored 75% on the Higg Index for chemical management practices.
Waste Management:
Meticulously tracks all cutting waste to ensure circularity.
Responsibly disposes of hazardous waste and recycles non-hazardous waste.
Goal: Zero landfill waste by 203
Company claims an electricity mix of 70% renewable (38% solar, 32% wind) and 30% grid, with 11.30 MW of combined captive green capacity. Self-declared, unassured, no reporting period. SBTi: both commitments removed - the "net zero by 2045" line is the company's own aspiration.</t>
  </si>
  <si>
    <t>ISO 9002</t>
  </si>
  <si>
    <t>Partnership Firm</t>
  </si>
  <si>
    <t>Brands in Europe and Asia</t>
  </si>
  <si>
    <t>Raw hide to finished leather</t>
  </si>
  <si>
    <t>Chennai and Ranipet</t>
  </si>
  <si>
    <t>https://www.leatherworkinggroup.com/get-involved/our-community/certified-suppliers/star-exports-b-tannery-sta103/</t>
  </si>
  <si>
    <t>No sustainability disclosure found; company registration confirmed via LWG website.
Lack audited ESG metrics in current sources. No BRSR filing found (private company, not required to file); no sustainability report on company site; not a CDP discloser.
Leather Working Group certified, rating GOLD at the A-Tannery site (URN FOR004, Kanchipuram), audit expiry 30 Jul 2026, protocol 7.2.4. Traceability: regional 50.11%, not traceable 49.89%, physical 0%, documented 0%, group 0%. CAUTION: Star Exports has THREE separate LWG sites - A-Tannery (FOR004), B-Tannery (STA103, Chromepet) and C-Tannery (STA109, Ranipet). These figures are A-Tannery only and must not be carried to the other two.</t>
  </si>
  <si>
    <t>Cherthala</t>
  </si>
  <si>
    <t>100% Export Oriented Unit</t>
  </si>
  <si>
    <t>Target, Home Depot, Ross, Sodimac</t>
  </si>
  <si>
    <t>Coir, jute, rubber</t>
  </si>
  <si>
    <t>Cherthala, Kerala</t>
  </si>
  <si>
    <t>https://www.cocotuft.com/
CARE Ratings, ICRA</t>
  </si>
  <si>
    <t>No BRSR filing found (private company, not required to file); no sustainability report on company site; not a CDP discloser.
Energy &amp; Sustainability: Incorporates sustainable manufacturing practices, with nearly 50% of its energy requirements generated from renewable sources.
Water-Based Azo-Free Dyes:Refers to the non-toxic, eco-friendly water-based synthetic dyes used to print designs on their natural coir, jute, and floor covering products. Azo-free dyes eliminate harmful heavy metals and chemical compounds to comply with global environmental and consumer safety regulations.Biodegradable Discharges / Materials:Refers to both the 100% natural, biodegradable raw materials (e.g., natural coco fiber and latex) and the organic, biodegradable liquid waste discharged directly to local Common Effluent Treatment Plants (CETP)
Only quantified disclosure is a live homepage solar dashboard: 746 MWh cumulative renewable energy produced, 284,854 kg CO2 saved (undated, no denominator). Certifications: ISO 9001, OEKO-TEX, REACH, SA8000, Sedex SMETA.</t>
  </si>
  <si>
    <t>SA 8000, SEDEX
SA8000 Certification:
An international social accountability standard developed by Social Accountability International (SAI). It certifies fair treatment of workers, evaluating key workplace areas such as prohibition of child/forced labor, health and safety practices, freedom of association, working hours, and fair compensation.
SEDEX (Supplier Ethical Data Exchange) / SMETA:
A globally recognized online platform where suppliers share ethical audit data regarding working conditions, health and safety, environmental practices, and business ethics. A SEDEX/SMETA audit verifies standard social and labor compliance across global supply chains.</t>
  </si>
  <si>
    <t>Third-generation Manufacturer</t>
  </si>
  <si>
    <t>Brands in USA, Europe, and Asia</t>
  </si>
  <si>
    <t>Bovine, sheep, and goat hides</t>
  </si>
  <si>
    <t>Vaniyambadi, Tirupattur</t>
  </si>
  <si>
    <t>https://www.vasnoorullah.com/
LWG, TÜV SÜD</t>
  </si>
  <si>
    <t>Lack audited ESG metrics in current sources.No BRSR filing found (private company, not required to file); no sustainability report on company site; not a CDP discloser.
Leather Working Group certified, rating SILVER (URN VAS002), audit expiry 11 Aug 2028, protocol 7.2.5. Traceability: documented 53.81%, regional 40.23%, not traceable 5.96%, physical 0%, group 0%. A second site (VAS101, B Tannery) is registered separately - these figures are VAS002 only.</t>
  </si>
  <si>
    <t>LWG Silver Rated
Holds an LWG Silver Rated status under the Leather Working Group protocol, certifying strong environmental and chemical compliance in its tannery operations.
Social Compliance: Maintains SA8000 Certification, confirming compliance with international social accountability and workplace labor standards.</t>
  </si>
  <si>
    <t>jindal-worldwide</t>
  </si>
  <si>
    <t>1986</t>
  </si>
  <si>
    <t>No formal phase-out date</t>
  </si>
  <si>
    <t>Not Disclosed (B2B - end-use industries; no specific brand names disclosed)</t>
  </si>
  <si>
    <t>Cotton, Yarn (BCI, Organic, GRS-certified on request)</t>
  </si>
  <si>
    <t>India (16 states, GST registered in 1 state) + exports to 24 countries</t>
  </si>
  <si>
    <t>Kanpur</t>
  </si>
  <si>
    <t>Leather Goods</t>
  </si>
  <si>
    <t>Leather dressing, luggage components</t>
  </si>
  <si>
    <t>Kanpur, Uttar Pradesh</t>
  </si>
  <si>
    <t>https://tracxn.com/d/legal-entities/india/carlrima-impex-private-limited/__Vk0pcH1Y_jYk7LiavkZ2niF38tVGnRqmWAMOa0N9YII</t>
  </si>
  <si>
    <t>No BRSR filing found (private company, not required to file); no sustainability report on company site; not a CDP discloser. No sustainability disclosure found; company registration confirmed via Tracxn.</t>
  </si>
  <si>
    <t>Recycled Yarn</t>
  </si>
  <si>
    <t>Pre &amp; Post-consumer textile waste</t>
  </si>
  <si>
    <t>https://www.fabtechgroups.com/our-sustainablity/</t>
  </si>
  <si>
    <t>No BRSR filing found (private company, not required to file); no sustainability report on company site; not a CDP discloser.
Power Generation &amp; Renewable Energy
100% Green Power: The company generates 100% of its power requirements through its own captive renewable energy plants.
Wind Power: 80% of their total power needs are met using their own windmills (located in regions like Tirupur and Theni), producing substantial surplus clean energy.
Solar Power: Solar capacity not yet disclosed but the company claims that, 20% of their power requirement is generated through their in-house solar power plant.
2. Water Conservation &amp; Treatment
Effluent Treatment Plant (ETP): They operate an in-house ETP plant that recycles 100% of their industrial wastewater.
Water Savings: the Company claims savings of 15,552,000+ KL (kiloliters) of water. This is the amount of water savings but not the amount of water used or recycled.
3. Waste Management &amp; Circular Economy
Pre-Consumer Textile Waste: They convert cutting and pre-consumer textile waste into blended recycled yarn (producing roughly 8 tons daily).
PET Waste Reduction: Achieved savings and management of 2,880+ MT (metric tons) of PET waste.
Chemical Savings: Recorded savings of 64,800+ Kgs of chemicals through sustainable processing.
4. Overall Environmental Impact Metrics
Production Capacity: 7,200+ MT of sustainable production.
Carbon Footprint Savings: 7,200+ MT of carbon footprint reduction.
Company claims 100% of its POWER requirement from own windmills and solar (about 80% wind, 20% solar). Unassured, no period, no capacity, no MWh. ENTITY UNVERIFIED: the cited site is "Fabtech Groups Pvt Ltd", Veerapandi, Tirupur; the name "Fabtech International Hosieries Pvt Ltd" appears nowhere on it.</t>
  </si>
  <si>
    <t>Wind Offset</t>
  </si>
  <si>
    <t>Surat</t>
  </si>
  <si>
    <t>100% Bio-Fuel</t>
  </si>
  <si>
    <t>Guess, Walmart</t>
  </si>
  <si>
    <t>Synthetic Wovens</t>
  </si>
  <si>
    <t>https://yesfashions.com/sustainability/</t>
  </si>
  <si>
    <t>The provided sources lack specific audited metrics or corporate profiles. These private firms are largely associated with regional clusters. 
No BRSR filing found (private company, not required to file); no sustainability report on company site; not a CDP discloser.
Google search indicates GOTS certification, but no disclosure on the company website to confirm
Establishes a 100% renewable energy procurement or generation target for the supplier facility to eliminate grid-associated carbon intensity.
Denotes a Zero Liquid Discharge facility configuration, meaning 100% of industrial wastewater is treated and recycled back into operations, preventing liquid waste discharge.
Indicates active collaboration under global brand sustainability initiatives (such as H&amp;M Group's strategic supplier programs) focusing on circularity and waste reduction.
Key Sustainability Highlights
Pioneer in Recycled Polyester: Recognized as the largest manufacturer of recycled polyester wovens in India.
Strategic Partnerships: Collaborates strategically with Polygenta Technologies &amp; Reliance Industries.
Water Management: Operates a Zero Liquid Discharge Water Jet Weaving Facility, with processed water being discharged at a government-approved Common Effluent Treatment Plant (CETP).
De-carbonization &amp; Energy: Actively working on de-carbonization in boiler fuel, targeting a 100% switch from coal-fired boilers to bio-fuel by the end of 2026.
Certifications: Certified with OEKO-TEX Standard-100.
Core Sustainability Pillars &amp; Focus Areas
Environmental Sustainability
Corporate Social Responsibility (CSR)
Skilling and Training
Employee Health and Wellbeing
Fair and Respectful Workplace</t>
  </si>
  <si>
    <t>Fabric Dyeing</t>
  </si>
  <si>
    <t>Cotton and Silk fabrics</t>
  </si>
  <si>
    <t>Mathura, Uttar Pradesh</t>
  </si>
  <si>
    <t>https://www.indiamart.com/gt-m-industries/profile.html?srsltid=AfmBOooxnFUaoOSNv5LdNRv7O3eZFoSIC05HxHUGGF-nd9gHCF-TGhwE</t>
  </si>
  <si>
    <t>No sustainability disclosure found; company registration confirmed via Indiamart
Identified as a private industrial player; however, the provided sources lack specific audited ESG metrics or a corporate profile to verify its operational footprint. No BRSR filing found (private company, not required to file); no sustainability report on company site; not a CDP discloser.</t>
  </si>
  <si>
    <t>Schiffli buyer</t>
  </si>
  <si>
    <t>Schiffli embroidery, crochet lace</t>
  </si>
  <si>
    <t>Faridabad, Haryana</t>
  </si>
  <si>
    <t>http://hemlaembroidery.com/</t>
  </si>
  <si>
    <t>No specific sustainability reports or regulatory filings are available to extract Scope 1/2 emissions or resource consumption data. No BRSR filing found (private company, not required to file); no sustainability report on company site; not a CDP discloser.
1. Regulatory &amp; Ethical Compliance
Global Audits and Standards: Leading production houses adhere to rigorous international compliance benchmarks to ensure fair labor practices, safe working conditions, and supply chain transparency. Common frameworks include platforms like Sedex and standard guidelines set by major global fashion brands (such as Inditex).
2. Sustainable Sourcing &amp; Material Traceability
Certified Eco-Friendly Fibers: Production units increasingly utilize certified raw materials to minimize ecological footprints. This includes adhering to standards like the Global Recycled Standard (GRS) for recycled inputs and the Organic Content Standard (OCS) for responsibly grown natural fibers.
3. Resource Efficiency and Lean Manufacturing
Optimized Production: Modern computerized machinery (such as Swiss Lässer systems) maximizes thread efficiency and minimizes material waste during large-scale pattern runs.
In-House Processing Integration: Combining embroidery with localized dyeing and printing units helps streamline chemical management, water conservation, and energy recovery systems across the entire lifecycle of the fabric.
Ecocert certified-client registry entry covering recycled materials, recycled textiles, and organic and ecological textiles. Certification scope only - no quantified environmental figure. Operations are in Faridabad, Haryana (CIN U74999HR1958PTC002248).</t>
  </si>
  <si>
    <t>Sonipat</t>
  </si>
  <si>
    <t>Design-based machine embroidery</t>
  </si>
  <si>
    <t>Sonipat, Haryana</t>
  </si>
  <si>
    <t>https://www.kdhtextile.com/
CARE Ratings (July 2026)</t>
  </si>
  <si>
    <t>No BRSR filing found (private company, not required to file); no sustainability report on company site; not a CDP discloser.</t>
  </si>
  <si>
    <t>CARE BB+; Stable (Reaffirmed)</t>
  </si>
  <si>
    <t>Rudrapur</t>
  </si>
  <si>
    <t>Uttarakhand</t>
  </si>
  <si>
    <t>Contract Mfg</t>
  </si>
  <si>
    <t>Cosmetic labels</t>
  </si>
  <si>
    <t>Skincare &amp; Personal Care ingredients</t>
  </si>
  <si>
    <t>Rudrapur, Uttarakhand</t>
  </si>
  <si>
    <t>https://maximasolutions.co.in/
BeBee / Maxima Group</t>
  </si>
  <si>
    <t>No BRSR filing found (private company, not required to file); no sustainability report on company site; not a CDP discloser.
Maxima Solutions applies Total Productive Maintenance (TPM) to optimize its cosmetic and personal care manufacturing operations</t>
  </si>
  <si>
    <t>Lean Mfg</t>
  </si>
  <si>
    <t>Manufacturer</t>
  </si>
  <si>
    <t>Leather apparel</t>
  </si>
  <si>
    <t>Buffalo and Sheepskin leather</t>
  </si>
  <si>
    <t>Chennai, Tamil Nadu</t>
  </si>
  <si>
    <t>LWG Audit (URN: NIV101)
https://www.leatherworkinggroup.com/get-involved/our-community/certified-suppliers/nivin-leathers/</t>
  </si>
  <si>
    <t>Likely associated with a regional leather cluster; no verified water stewardship (KL) or waste management (MT) figures are present in the current dataset.  No BRSR filing found (private company, not required to file); no sustainability report on company site; not a CDP discloser.
Nivin Leathers is a certified Gold-rated leather manufacturer and tannery located in Chennai, India
Leather Working Group certified, rating GOLD (URN NIV101), certified since 23 Jan 2025, audit expiry 23 Jan 2027, protocol 7.2.4. Traceability: regional 98.33%, not traceable 1.67%, physical 0%, documented 0%, group 0%.</t>
  </si>
  <si>
    <t>Penacova</t>
  </si>
  <si>
    <t>Portugal</t>
  </si>
  <si>
    <t>Integrated</t>
  </si>
  <si>
    <t>Luxury leather footwear</t>
  </si>
  <si>
    <t>Penacova, Portugal</t>
  </si>
  <si>
    <t>https://www.rodiro.com/responsibility</t>
  </si>
  <si>
    <t>No BRSR filing found (private company, not required to file); no sustainability report on company site; not a CDP discloser.
Core Policy &amp; Framework
Integrated Policy: Combines environmental management, quality assurance, safety, and occupational health (continuous improvement model).
Scope: Covers environmental and social responsibility across the complete footwear manufacturing cycle in Portugal.
2. Key Sustainability Pillars
Climate Change: Measures deployed to mitigate environmental and ecological impacts during manufacturing.
Carbon Emissions: Active footprint tracking and reduction initiatives—notably operating via solar energy.
Waste Management: Responsible handling, minimization, and processing of industrial waste streams (e.g., leather waste).
Community &amp; Social Responsibility: Ethical business conduct and positive local community engagement.
3. Industry Collaboration &amp; Innovation
FAIST Program: Active participant in Portuguese footwear sector initiatives (such as Fábrica Ágil Inteligente Sustentável e Tecnológica) focused on tech-enabled, green manufacturing.
Sector Partnerships: Engagement with cluster initiatives promoting sustainable shoe production solutions (e.g., APICCAPS / CTCP programs like Delivering the Future).
RODIRO – Fábrica de Calçado modernized its infrastructure through strategic restructuring and targeted innovation projects like "Footure Rodiro" and the "FAIST" agenda, scaling its production capacity to 8,000 pairs of shoes per day across major facilities in Felgueiras, Portugal
HELD: Portuguese entity (Felgueiras) with no Indian operation identified. Sources from India rather than manufacturing in India. Do not confuse with the unrelated RODI Industries S.A., which publishes PV and CO2 figures.</t>
  </si>
  <si>
    <t>RRP Member</t>
  </si>
  <si>
    <t>Green Power</t>
  </si>
  <si>
    <t>Yarn Exports</t>
  </si>
  <si>
    <t>Raw and Organic Cotton</t>
  </si>
  <si>
    <t>Kerala, Tamil Nadu, Karnataka</t>
  </si>
  <si>
    <t>https://precot.com/sustainability/</t>
  </si>
  <si>
    <t>As a listed entity (NSE/BSE), Precot is likely subject to mandatory BRSR filings in India. But not accessable freely. Hence the data is noted from company's sustaiability portal.
Precot Sustainability Practices Overview
Precot's sustainability framework is built upon three core pillars: Raw Material Sourcing, Green Energy, and Waste Management.
Detailed Scope 1, 2, and 3 Emissions: Specific quantitative metrics for greenhouse gas emissions (such as precise metric tons of carbon dioxide equivalent) are not explicitly itemized or published in the standard Directors' Report or financial summaries of Precot Limited's Annual Report.
1. Raw Material Sourcing
Organic Cotton Commitment: 20% of the cotton utilized by Precot is organically grown.
Environmental Impact: Grown using fewer chemicals and optimized water usage, reducing ecological strain.
Soil &amp; Ecosystem Health: Organic practices enhance soil quality, protect farming ecosystems, and support local farming communities.
2. Green Energy Utilization
Wind Power: Generates up to 12.25 MW of energy through 17 wind mills to power manufacturing and dyeing units.
Natural Gas: Utilizes roughly 7.5 MW of energy produced from natural gas.
Energy Conservation &amp; Heat Recovery:
Dyeing plants are equipped with heat recovery systems that capture hot water from dye baths and recirculate it into boilers and dyeing machines to minimize heating energy requirements.
Integration of energy-efficient motors in ring frames, high-efficiency compressors, and humidification plants to cut down overall energy consumption.
3. Waste Management &amp; Zero Discharge System
Effluent Treatment Plants (ETPs): Installed across all production units equipped with advanced evaporators and crystallizers for thorough wastewater treatment.
Advanced Treatment Processes: Employs ozone and reverse osmosis technologies as part of a comprehensive zero-discharge system.
Water Recycling: Treated wastewater is fully redirected toward landscape irrigation.
Green Energy and Carbon Footprint MitigationWhile aggregate emission metrics are limited, Precot actively offsets its carbon footprint through significant investments in renewable energy infrastructure:Wind Power: The company utilizes up to 12.25 MW of clean energy generated from its 17 windmills to power manufacturing and operational units.Cleaner Fossil Fuels: Utilizes approximately 7.5 MW of energy produced via natural gas.Energy Conservation Systems: Employs heat recovery systems in dyeing plants (re-circulating hot water to lower boiler/dyeing energy requirements), energy-efficient motors in ring frames, and optimized humidification plants.
Listed on NSE and BSE but NOT BRSR-obligated - the FY2024-25 Annual Report states plainly that the Business Responsibility Report "is not applicable to the Company", as it falls outside the SEBI top-1000 threshold. There is therefore no BRSR and no Scope 1/2, energy, water or waste table to draw on. Audited FY2024-25 filing discloses 5.50 MW of windmill capacity installed for captive consumption. The company website separately claims 12.25 MW across 17 windmills and about 7.5 MW from natural gas, but that page was last modified in 2022, is inconsistent with the audited filing, and phrases capacity as "energy produced". Installed capacity is not consumption - nothing is entered in the columns.</t>
  </si>
  <si>
    <t>Precot Limited holds the following key quality and environmental ISO certifications:   
ISO 9001: Quality Management System certification.   
ISO 14001: Environmental Management System certification.   
Additional Compliance and Quality Standards
In addition to ISO, Precot maintains several other industry-standard credentials:
SA 8000 (Social Accountability)   
BRC Standards (Global standard for food safety and packaging materials)
OEKO-TEX (Certified safe for textiles tested for harmful substances)
GMP &amp; FDA Certifications   
BCI (Better Cotton Initiative) standards compliance</t>
  </si>
  <si>
    <t>Haridwar</t>
  </si>
  <si>
    <t>Net Zero</t>
  </si>
  <si>
    <t>Clean Energy</t>
  </si>
  <si>
    <t>Skincare</t>
  </si>
  <si>
    <t>Clean beauty textures &amp; ingredients</t>
  </si>
  <si>
    <t>Haridwar, Uttarakhand</t>
  </si>
  <si>
    <t>https://tracxn.com/d/legal-entities/india/regi-india-cosmetics-private-limited/__0bzQ6gUVwNDF58vh3oTa9lsF52uoWLJLwrU33XS6zRc#about</t>
  </si>
  <si>
    <t>No sustainability disclosure found; company registration confirmed via Tracxn.
No BRSR filing found (private company, not required to file); no sustainability report on company site; not a CDP discloser.
Corporate Sustainability &amp; Environmental CareClean Energy: Utilization of clean energy generated via high-efficiency photovoltaic systems.Resource &amp; Emission Monitoring: Continuous tracking of CO2 emissions, water consumption, and electricity usage with yearly performance improvement targets.Circular Economy &amp; Packaging: Implementation and active promotion of recycled and recyclable plastics in production.Facility Protection: Integration of innovative protection systems against environmental hazards like flooding at manufacturing sites.2. Social ComplianceStandards &amp; Audits: Fully EcoVadis rated and audited in compliance with SMETA (Sedex Members Ethical Trade Audit) and broader Corporate Social Responsibility (CSR) requirements.Workplace Focus: Prioritizes social equality, fair labor practices, and workplace safety.3. Clean Beauty &amp; R&amp;DSustainable Ingredients: Increasing investments into the research and development of cosmetic textures formulated with socially and environmentally sustainable components.
The sustainability narrative found in search results belongs to the international Regi group and sits on an awards-entry profile, not the Indian entity. Advertorial-grade and group-level; deliberately not recorded.</t>
  </si>
  <si>
    <t>Photovoltaic</t>
  </si>
  <si>
    <t>Limited Co.</t>
  </si>
  <si>
    <t>Grooming</t>
  </si>
  <si>
    <t>Grooming &amp; toiletries (Fragrances)</t>
  </si>
  <si>
    <t>Gurugram, Haryana</t>
  </si>
  <si>
    <t>https://stella-indusstries.com/corporate-governance</t>
  </si>
  <si>
    <t>No BRSR filing found (private company, not required to file); no sustainability report on company site; not a CDP discloser.
Environmental Protection &amp; Sustainability Initiatives
Footprint Reduction: Implemented internal sustainability policies and initiatives aimed at minimizing the company's overall environmental impact.
Eco-Friendly Practices: Focuses on resource efficiency through waste reduction, efficient use of energy, and the adoption of green manufacturing and packaging practices.
Employee Awareness: Conducts regular training and awareness programs for employees centered on environmental conservation and sustainable operational habits.
Advanced Technology: Utilizes modern automated machinery and specialized production lines (such as Pamasol aerosol setups) to reduce environmental exposure and human intervention during manufacturing.
Individual facilities have begun adoption of solar solutions (such as a 100KW rooftop solar project commissioned via Vikram Solar at select plants
The double-s spelling "Indusstries" is the company's own registered name, not a typo. Unlisted public limited company (inc. 13 Dec 1983, Gurgaon); not on BSE or NSE and not BRSR-obligated. A grooming and toiletries manufacturer, consistent with an H&amp;M Beauty supplier row.</t>
  </si>
  <si>
    <t>Embroidery</t>
  </si>
  <si>
    <t>Embroidery machinery, designer laces</t>
  </si>
  <si>
    <t>Delhi, Gurgaon, Sonipat</t>
  </si>
  <si>
    <t>https://tulipapparels.com/</t>
  </si>
  <si>
    <t>A private limited apparel manufacturer for which no public BRSR or audited environmental data has been imported into the current project. No BRSR filing found (private company, not required to file); no sustainability report on company site; not a CDP discloser.
Do not conflate with Tulip Clothing Pvt Ltd / Tulip Fashion of Tirupur - a different entity.</t>
  </si>
  <si>
    <t>Kochi</t>
  </si>
  <si>
    <t>100% (2035)</t>
  </si>
  <si>
    <t>M&amp;S, Gap</t>
  </si>
  <si>
    <t>European Flax (CELC certified)</t>
  </si>
  <si>
    <t>Kochi, Kerala (Processing)</t>
  </si>
  <si>
    <t>https://wfbbaird.com/awards-and-certifications.html</t>
  </si>
  <si>
    <t>No BRSR filing found (private company, not required to file); no sustainability report on company site; not a CDP discloser.
Based on corporate and operational policies of WFB Baird &amp; Company (the parent group governing its manufacturing practices and operations in India), the company’s key sustainability initiatives and focus areas include:
1. Sustainable Products &amp; Materials
Eco-Friendly Fibres: Specializes in manufacturing linen and linen-blend fabrics, which are naturally derived from eco-friendly flax fibres.   
Certifications: Operations and products are aligned with recognized standards, holding certifications from leading industry agencies such as OEKO-TEX and the Higgs Index.   
Chemical Compliance: Utilizes certified, biodegradable chemicals and sustainable materials across processing and packaging stages.   
2. Resource Optimization &amp; Water Management
Water Conservation: Implements processes focused on minimizing freshwater footprints, including rainwater harvesting, as well as the reusing and recycling of wastewater.   
Energy Efficiency: Deploys heat recovery systems within manufacturing units to effectively conserve thermal energy during production cycles.   
3. Waste Reduction &amp; Green Energy Goals
Waste Minimization: Focuses heavily on reducing waste generation at production units, alongside implementing responsible waste disposal and internal recycling frameworks.   
Renewable Energy Transition: Actively incorporates solar energy and other green power sources, with a strategic corporate roadmap aiming to transition toward 100% renewable energy usage.
Search record: No sustainability disclosure found; company registration confirmed via Tracxn &amp; Company website
Higg FEM environmental scores published for the Indian units specifically: 89% (Cochin) and 90% (SIPCOT). Higg FSLM (social) 72.2% at Cochin. NO REPORTING YEAR IS STATED and the page is undated - treat the vintage as unknown. Registry certifications: GOTS v6.0, OCS 3.0, GRS 4.0, RCS 2.0 and OEKO-TEX STANDARD 100 at both units, OEKO-TEX STeP and amfori BSCI at Cochin, European Flax via Bureau Veritas at both. Indian subsidiary (est. 2005) of WFB Baird &amp; Co Ltd, Lurgan, Northern Ireland. Solar is mentioned only qualitatively - no MW, kWh or percentage.</t>
  </si>
  <si>
    <t>Rollout Progress — H&amp;M India Supplier Data Pack</t>
  </si>
  <si>
    <t>Total supplier groups</t>
  </si>
  <si>
    <t>Tier 1 (flagship, target for showcase)</t>
  </si>
  <si>
    <t>Tier 2 (directory-level, later)</t>
  </si>
  <si>
    <t>Not Started</t>
  </si>
  <si>
    <t>% Complete (Verified + Live)</t>
  </si>
  <si>
    <t>% Tier 1 Complete (Verified + Live)</t>
  </si>
  <si>
    <t>By assignee</t>
  </si>
  <si>
    <t>Ankita D (left the company - rows need reassigning)</t>
  </si>
  <si>
    <t>Parul</t>
  </si>
  <si>
    <t>Tech Head</t>
  </si>
  <si>
    <t>TBD</t>
  </si>
  <si>
    <t>Unassigned / to reassign</t>
  </si>
  <si>
    <t>All figures on this tab are live formulas reading "Supplier Master (India)". By-assignee keys must match the Assigned To column exactly.</t>
  </si>
  <si>
    <t>Row</t>
  </si>
  <si>
    <t>Company</t>
  </si>
  <si>
    <t>Column</t>
  </si>
  <si>
    <t>Old value</t>
  </si>
  <si>
    <t>New value</t>
  </si>
  <si>
    <t>Reason</t>
  </si>
  <si>
    <t>FY 2023-24</t>
  </si>
  <si>
    <t>F1 Reporting FY normalised to FY####-## / FY####</t>
  </si>
  <si>
    <t xml:space="preserve">FY2024 </t>
  </si>
  <si>
    <t>FY 2024</t>
  </si>
  <si>
    <t>FY 2022-23</t>
  </si>
  <si>
    <t>FY 2024-25</t>
  </si>
  <si>
    <t>FY 2025-26</t>
  </si>
  <si>
    <t>FY 2018-19</t>
  </si>
  <si>
    <t>2025.0</t>
  </si>
  <si>
    <t xml:space="preserve">
FY 2025-26</t>
  </si>
  <si>
    <t>FY-2023-24</t>
  </si>
  <si>
    <t>1st Sept, 2026</t>
  </si>
  <si>
    <t>2026-09-01</t>
  </si>
  <si>
    <t>F2 Last Verified Date normalised to ISO date per Data Dictionary</t>
  </si>
  <si>
    <t>12th August, 2026</t>
  </si>
  <si>
    <t>2026-08-12</t>
  </si>
  <si>
    <t>11th August, 2026</t>
  </si>
  <si>
    <t>2026-08-11</t>
  </si>
  <si>
    <t>3rd September, 2026</t>
  </si>
  <si>
    <t>2026-09-03</t>
  </si>
  <si>
    <t>5th August, 2026</t>
  </si>
  <si>
    <t>2026-08-05</t>
  </si>
  <si>
    <t>4th Sept, 2026</t>
  </si>
  <si>
    <t>2026-09-04</t>
  </si>
  <si>
    <t>2nd Sept, 2026</t>
  </si>
  <si>
    <t>2026-09-02</t>
  </si>
  <si>
    <t>6th August, 2026</t>
  </si>
  <si>
    <t>2026-08-06</t>
  </si>
  <si>
    <t>7th August, 2026</t>
  </si>
  <si>
    <t>2026-08-07</t>
  </si>
  <si>
    <t>Issue</t>
  </si>
  <si>
    <t>Detail</t>
  </si>
  <si>
    <t>Recommended action</t>
  </si>
  <si>
    <t>Subsidiary ESG block cleared</t>
  </si>
  <si>
    <t>Renewable Energy % 1.5 and Solar Capacity 4.0 are identical to row 75 (Radnik Auto, an unrelated company) with no supporting evidence in this row Notes or source; parent row 14 carries Solar 1.0.</t>
  </si>
  <si>
    <t>Re-source genuine unit-level figures, or leave as Not Disclosed (rolls up to parent).</t>
  </si>
  <si>
    <t>ESG block held K.P.R. Mill GROUP figures (Scope 1 336,081 vs parent row 65 59,834; 30,000 employees vs parent 20,774). A subsidiary cannot exceed its parent - these are parent-level FY2025-26 figures on a child row and would double-count.</t>
  </si>
  <si>
    <t>ESG block held Shahi GROUP-scale figures (Scope 1 277,796 = 73% of parent row 77, on a 750-person unit; Total Waste 111,207 exceeds the parent total of 52,614).</t>
  </si>
  <si>
    <t>ESG block was byte-identical to row 78 while the row own Notes stated "No disclosure data found for all Scope and energy figures".</t>
  </si>
  <si>
    <t>Live parent row may be stale</t>
  </si>
  <si>
    <t>Row 61 carried K.P.R. Mill FY2025-26 figures from the 23rd AGM annual report (Scope 1+2 424,513; RE 80.6%; Solar 35 MW) which are NEWER than the Live parent row 65 (Scope 1+2 221,537; RE 24.1%; Solar 34 MW).</t>
  </si>
  <si>
    <t>Consider refreshing Live row 65 from the FY2025-26 annual report. Live rows are locked - your call.</t>
  </si>
  <si>
    <t>Total Water was wrong by a factor of 10</t>
  </si>
  <si>
    <t>Column read 366,090 KL; the row own source breakdown gives 3,062,479 + 597,611 = 3,660,090 KL.</t>
  </si>
  <si>
    <t>Figure cleared with the rest of the group-level block. If a Shimoga unit figure is wanted, re-source it.</t>
  </si>
  <si>
    <t>Restored a regressed value</t>
  </si>
  <si>
    <t>Renewable Energy % had reverted to "Not Disclosed" after being verified twice.</t>
  </si>
  <si>
    <t>Confirm 62.5 still reflects the source before this row is signed off.</t>
  </si>
  <si>
    <t>Supplier identity unresolved</t>
  </si>
  <si>
    <t>Row reads HQ Jodhpur/Rajasthan, Home (hardgoods), raw materials Wood/Metal/Marble, citation is a contact page. This does not match the "Basant India Inc, Noida" apparel entity raised on 4 Sept.</t>
  </si>
  <si>
    <t>Confirm which legal entity this row is, then fix the name/citation. Tier comes from the H&amp;M list - not to be edited here.</t>
  </si>
  <si>
    <t>Renewable Energy % rests on a self-claim</t>
  </si>
  <si>
    <t>Column reads 100.0; Notes say "Company claims on its official website". An earlier correction round put this at 18.</t>
  </si>
  <si>
    <t>Decide between the 18 figure and the website claim; a self-claim should not read as a verified 100%.</t>
  </si>
  <si>
    <t>Same Solar Capacity on two unrelated companies</t>
  </si>
  <si>
    <t>Gupta H.C. Overseas (row 37) and Neokraft Global (row 70) both read Solar Capacity 0.35 MWp.</t>
  </si>
  <si>
    <t>Verify one of the two - this pattern usually means a copied cell.</t>
  </si>
  <si>
    <t>Non-India HQ in an India supplier pack</t>
  </si>
  <si>
    <t>Coordinates resolve to Jiangsu, China.</t>
  </si>
  <si>
    <t>Confirm whether the India operating entity should be profiled instead of the foreign parent.</t>
  </si>
  <si>
    <t>Coordinates resolve to Portugal.</t>
  </si>
  <si>
    <t>Renewable Energy Target column holds non-target prose</t>
  </si>
  <si>
    <t>Reads: "Focuses heavily on resource efficiency—specifically minimizing water and energy consumption across operations and partne"</t>
  </si>
  <si>
    <t>Move the prose to Notes and leave a target or "No Target" in the column.</t>
  </si>
  <si>
    <t>Reads: "Replace fossil fuel-based energy with renewable energy by 50% of intensity (per sq. ft.) by FY2026-27."</t>
  </si>
  <si>
    <t>Reads: "Targeted the installation of Solar and Bio-gas plants by the end of 2016 (Action Plan)."</t>
  </si>
  <si>
    <t>Reads: "Engaged in the Lindex Climate Roadmap which identified potential for 20-30% emission reductions."</t>
  </si>
  <si>
    <t>https://www.scmgarments.com/index.php
No sustainability disclosure found; company registration confirmed via Company website</t>
  </si>
  <si>
    <t>Reads: "Focus on family-friendly policies and social accountability since 2020."</t>
  </si>
  <si>
    <t>F3 Citation column reduced to source URL(s); search record moved to Notes (criterion 2)</t>
  </si>
  <si>
    <t>LIVE row - two cells converted from formula to static value</t>
  </si>
  <si>
    <t>Scope 1+2 and Energy Carbon Intensity held guarded IF() formulas. Values are unchanged (148190 and 816.65); only the formula wrapper is gone, because the dashboard ingests values rather than formulas.</t>
  </si>
  <si>
    <t>Live rows are locked - confirm you are happy with this, or revert these two cells.</t>
  </si>
  <si>
    <t>Energy Carbon Intensity looks implausible</t>
  </si>
  <si>
    <t>148190 tCO2e over 181.46 TJ gives 816.65 tCO2e/TJ. Typical textile-sector figures sit between roughly 50 and 150.</t>
  </si>
  <si>
    <t>No BRSR filing found (private company, not required to file); no sustainability report on company site; not a CDP discloser.
Google search indicates GOTS certification, but no disclosure on the company website to confirm.
Formally committed to the SBTi Net-Zero standard. Reports focus on integrated organic cotton value chains in the Tirupur hub. 
As a GOTS-certified entity, the company adheres to</t>
  </si>
  <si>
    <t>Total Energy of 181.46 TJ looks too low for this emissions figure - likely a unit error in the source. Worth re-checking.</t>
  </si>
  <si>
    <t>F3 Search record relocated from Citation column into Notes (criterion 1)</t>
  </si>
  <si>
    <t>LIVE row - Reporting FY reformatted</t>
  </si>
  <si>
    <t>Source cell held a malformed value with a leading line break ("\nFY 2025-26"); normalised to "FY2025-26". The year is unchanged.</t>
  </si>
  <si>
    <t>Format-only change on a locked row - revert if you would rather it stayed untouched.</t>
  </si>
  <si>
    <t>Removed placeholder text that was standing in for figures</t>
  </si>
  <si>
    <t>Notes ended with Scope 1 "[Offset]", Scope 2 "[Offset", Renewable Energy % "67,740 t Red", Total Waste "98% Recovery", Energy Carbon Intensity "Low".</t>
  </si>
  <si>
    <t>BRSR report, Sustainability Disclosure, Annual Report, CDP disclosure searched via google, no sustainability disclosure found; company registration confirmed via Tracxn.
https://tracxn.com/d/legal-entities/india/intimate-fashions-india-private-limited/__l28_7JPdJ5jZMYNGxfZ-Jv6MUq1e7Zv8mV6guamp7OQ</t>
  </si>
  <si>
    <t>These were never real values. The columns remain Not Disclosed - re-source if the figures are wanted.</t>
  </si>
  <si>
    <t>Group figures available but no India-entity figures</t>
  </si>
  <si>
    <t>Teejay Group consolidated figures are known (Scope 1+2 96,877 tCO2e); Teejay India Private Limited does not report separately.</t>
  </si>
  <si>
    <t>Leave as Not Disclosed, or decide that group figures may stand in - but then apply that rule consistently across the pack.</t>
  </si>
  <si>
    <t>3, 9, 15, 44, 64, 65, 77, 94</t>
  </si>
  <si>
    <t>(8 Live rows)</t>
  </si>
  <si>
    <t>Notes 2 left blank on Live rows</t>
  </si>
  <si>
    <t>7 Live rows have no ESG Score Reference. Left exactly as-is rather than filled, because Live rows are locked.</t>
  </si>
  <si>
    <t>Fill them if you want the column complete across the whole pack.</t>
  </si>
  <si>
    <t>No sustainability disclosure found; company registration confirmed via Tracxn.
One of the JV partners, MAS Holdings, is a well-known sustainability leader among South Asian apparel manufacturers (similar profile to Brandix) and may publish group-level ESG data that could cover this JV — did not find entity-specific figures for Intimate Fashions (India) itself, and did not assume MAS Holdings' gro</t>
  </si>
  <si>
    <t>Internal inconsistency inside the supplier report</t>
  </si>
  <si>
    <t>The CY2024 ESG report says 8.6 MW supplies "approximately 57%" of electricity, while its own table says solar is 68.23% of electricity. The water narrative also repeats 43,218 KL from the CY2023 report; the CY2024 table says 45,239 KL, which is what the row uses.</t>
  </si>
  <si>
    <t>These are the supplier report's own errors. Worth raising with C.L. Gupta before the profile is shown externally.</t>
  </si>
  <si>
    <t>EMISSIONS BLOCK NOT TRUSTWORTHY - held back from Verified</t>
  </si>
  <si>
    <t>Scope 2 read 3,678,500 tCO2e and Scope 1+2 3,850,980 against total energy of 290.55 TJ and 4,951 employees. Scope 1 of 172,480 tCO2e also implies about 594 tCO2e/TJ, far above any plausible textile figure. Scope 2, Scope 1+2 and intensity have been cleared.</t>
  </si>
  <si>
    <t>Someone needs to read the Kitex BRSR emissions table directly and re-enter Scope 1 and 2 with correct units. This is the only SEBI-listed entity in the pack, so it is worth getting right.</t>
  </si>
  <si>
    <t>BRSR report, Sustainability Disclosure, Annual Report, CDP disclosure searched via google, no sustainability disclosure found; company registration confirmed via Tracxn.
https://tracxn.com/d/legal-entities/india/dileep-art-and-crafts-private-limited/__HrZ3p_njt0W5cAw4UEKsH0PeXx_V8VlqdFLT5ABW0lM</t>
  </si>
  <si>
    <t>-</t>
  </si>
  <si>
    <t>(whole pack)</t>
  </si>
  <si>
    <t>CDP licensing - check before this leaves Hestiya</t>
  </si>
  <si>
    <t>CDP states its scores may not be used for anything beyond internal, non-commercial use without written consent. One row (First Steps Babywear) carries a CDP grade.</t>
  </si>
  <si>
    <t>Confirm a CDP data licence is in place before CDP grades appear on a public profile or in an H&amp;M deck.</t>
  </si>
  <si>
    <t>Supplier markets SBTi alignment its register entry does not support</t>
  </si>
  <si>
    <t>The current sources lack audited ESG metrics. These firms are largely associated with private regional clusters whose detailed reports are not present. No sustainability disclosure found; company registration confirmed via Tracxn.
No BRSR filing found (private company, not required to file); no sustainability report on company site; not a CDP discloser.
Sustainable Material Innovation: Known for p</t>
  </si>
  <si>
    <t>radnikexports.com claims "SBTI NET ZERO BY 2050" and "2032 SBTi - 72% GHG reduction". The SBTi register shows both commitments removed for expiry in 2021, never replaced.</t>
  </si>
  <si>
    <t>Highest reputational risk in the pack. Do not surface an SBTi badge for this supplier, and consider raising it with them.</t>
  </si>
  <si>
    <t>Lapsed SBTi commitment</t>
  </si>
  <si>
    <t>Radiaant Expovision shows "Commitment removed" on the SBTi register.</t>
  </si>
  <si>
    <t>Ensure no SBTi badge renders for this supplier on the public profile.</t>
  </si>
  <si>
    <t>Asian Fabricx shows "Commitment removed" on the SBTi register.</t>
  </si>
  <si>
    <t>K.H. Exports shows "Commitment removed" on the SBTi register.</t>
  </si>
  <si>
    <t>Two different companies share the name "Cotton World"</t>
  </si>
  <si>
    <t>Cottonworld of Colaba, Mumbai (est. 1987, cottonworld.net) is a D2C retailer; Cotton World of Bangalore (est. 1994, cottonworld.co.in) is a garment exporter. The row says Mumbai, pointing at the retailer - but a retailer is an unlikely H&amp;M supplier.</t>
  </si>
  <si>
    <t>Confirm with H&amp;M which legal entity is on their supplier list before this row is populated or published.</t>
  </si>
  <si>
    <t>Named entity may not be the disclosing entity</t>
  </si>
  <si>
    <t>The disclosing entity is Jiangsu Eastern Shenghong Co., Ltd. (SZSE 000301), a refining and petrochemical company with a polyester segment - not the privately held textile parent Shenghong Holding Group. The row also carries Chinese coordinates in an India supplier pack.</t>
  </si>
  <si>
    <t>Confirm which legal entity supplies H&amp;M, and whether an India operating entity should be profiled instead.</t>
  </si>
  <si>
    <t>BRSR report, Sustainability Disclosure, Annual Report, CDP disclosure searched via google, no sustainability disclosure found; company registration confirmed via Tracxn, Justdial.
https://tracxn.com/d/legal-entities/india/dileep-potteries-private-limited/__JBGP4Wlg5p9hT-bkw7FYzXxiZWUMjCe_9_9K2shQL3A</t>
  </si>
  <si>
    <t>Reporting entity differs from the row name</t>
  </si>
  <si>
    <t>The row says "Brandix Asia Holdings Pte Ltd". The published ESG report is issued by Brandix Lanka Limited and covers Sri Lanka, India and Bangladesh.</t>
  </si>
  <si>
    <t>Align the row to the entity that actually reports, or scope it to the India operation.</t>
  </si>
  <si>
    <t>Only group-level data exists, and the group boundary is unconfirmed</t>
  </si>
  <si>
    <t>MAS Holdings publishes 2024 group figures (Scope 1 64,449.48; Scope 2 76,006; renewable approximately 39%; water 2,590,040 KL; waste 23,929 MT). Intimate Fashions is described as a JV of Triumph International, Mast Industries and MAS Holdings, and it could not be confirmed that MAS consolidates it.</t>
  </si>
  <si>
    <t>No sustainability disclosure found; company registration confirmed via Tracxn.
The current sources lack audited ESG metrics. These firms are largely associated with private regional clusters whose detailed reports are not present. No BRSR filing found (private company, not required to file); no sustainability report on company site; not a CDP discloser.</t>
  </si>
  <si>
    <t>Do not inherit MAS group figures. Confirm the boundary with the supplier first.</t>
  </si>
  <si>
    <t xml:space="preserve">No sustainability disclosure found; company registration confirmed via Tracxn.
The current sources lack audited ESG metrics. These firms are largely associated with private regional clusters whose detailed reports are not present. No BRSR filing found (private company, not required to file); no sustainability report on company site; not a CDP discloser.
Search record: BRSR report, Sustainability </t>
  </si>
  <si>
    <t>A second same-named entity exists</t>
  </si>
  <si>
    <t>Atlas Textiles Export Pvt Ltd (U17111TN1989PTC017409) also operates in Karur. The SBTi register entry matches "Atlas Export Enterprises" exactly, so this row is sound, but the pair is easy to confuse.</t>
  </si>
  <si>
    <t>No action needed unless H&amp;M's list names the other entity.</t>
  </si>
  <si>
    <t>Held at Pending QA</t>
  </si>
  <si>
    <t>Not moved to Verified: emissions block not internally coherent.</t>
  </si>
  <si>
    <t>https://www.fiabila.net/wp-content/uploads/2023/01/CSR-REPORT-2023.pdf
No sustainability disclosure found; company registration confirmed via company's web page.</t>
  </si>
  <si>
    <t>Resolve the item above, then this row can be signed off.</t>
  </si>
  <si>
    <t>Not moved to Verified: supplier identity unresolved.</t>
  </si>
  <si>
    <t>A major nail polish/lacquer manufacturer. The current sources lack audited ESG metrics. These firms are largely associated with private regional clusters whose detailed reports are not present. 
The parent group publishes consolidated environmental and corporate social responsibility updates, such as the CSR Report 2023, rather than issuing a separate standalone local report for the Indian entity</t>
  </si>
  <si>
    <t>Every figure removed - none was sourced</t>
  </si>
  <si>
    <t>Scope 1 2,464 / Scope 2 2,314 / Scope 1+2 4,778 / RE 29.9% all cleared. Company publishes a reduction figure and percentage graphics, no absolutes. SBTi status was recorded as "Committed"; the register says removed for expiry.</t>
  </si>
  <si>
    <t>http://www.marqueimpex.com/
BRSR report, Sustainability Disclosure, Annual Report, CDP disclosure searched via google and company website, no sustainability disclosure found. Company registration confirmed via Company Website.</t>
  </si>
  <si>
    <t>Row now holds no environmental data. Re-source from the supplier directly or leave as Not Disclosed.</t>
  </si>
  <si>
    <t>Water figure was wrong by three orders of magnitude</t>
  </si>
  <si>
    <t>Recorded 239,367,000 KL against 451 employees. Source says 239,367 m3. Employee count was also an 18x understatement taken from a directory.</t>
  </si>
  <si>
    <t>Corrected. Worth asking the supplier to confirm the Scope 1+2 label, which their own scorecard calls an "intensity" while quoting an absolute unit.</t>
  </si>
  <si>
    <t>I restored a figure that turned out to be unsupported</t>
  </si>
  <si>
    <t>No BRSR filing found (private company, not required to file); no sustainability report on company site; not a CDP discloser
Corporate Social Responsibility (CSR) Filings
CSR Filings: The company has filed Form CSR-2 with the Ministry of Corporate Affairs (MCA), with the recent filing recorded on December 30, 2025. Form CSR-2 is mandatory for companies covered under India's Corporate Social Respon</t>
  </si>
  <si>
    <t>Renewable Energy % was restored to 62.5 as the midpoint of a "50-75% range" carried through this thread since August. No source publishes that range. The company discloses a flat 50%. Corrected to 50.</t>
  </si>
  <si>
    <t>Worth knowing that the 62.5 you verified in August was built on a range that does not exist in the source.</t>
  </si>
  <si>
    <t>Whole environmental block removed</t>
  </si>
  <si>
    <t>Total energy was the solar generation number; solar capacity was unsourced and inconsistent with that generation; 100% renewable is a website claim.</t>
  </si>
  <si>
    <t>Nothing here is publishable without going back to the supplier.</t>
  </si>
  <si>
    <t>Entire row was group data on an entity row</t>
  </si>
  <si>
    <t xml:space="preserve">BRSR report, Sustainability Disclosure, Annual Report, CDP disclosure searched via google, no sustainability disclosure found; company registration confirmed via Tracxn.
https://tracxn.com/d/legal-entities/india/golden-fashions-india-private-limited/__v8yWj7WivXd6-4D84Zwurn4_HyuGD68kWrmF4b3-Rmg
</t>
  </si>
  <si>
    <t>All six figures were Teejay Lanka PLC group totals presented as Teejay India. The India entity SBTi commitment has also been removed.</t>
  </si>
  <si>
    <t>Same pattern as the subsidiary rows. Either scope this row to the group and rename it, or leave it as Not Disclosed.</t>
  </si>
  <si>
    <t>Data is seven years old</t>
  </si>
  <si>
    <t>Every figure is FY2018-19 and confirmed accurate for that year. It is the latest the company publishes.</t>
  </si>
  <si>
    <t>Decide whether FY2018-19 data belongs on a current climate profile, or whether the row should show Not Disclosed with a note.</t>
  </si>
  <si>
    <t>Three error patterns run through this dataset</t>
  </si>
  <si>
    <t>No sustainability disclosure found; company registration confirmed via Tracxn.
Golden Fashions India Private Limited, a regional cotton grey fabric and textile manufacturer based in Erode, Tamil Nadu, does not publicly publish a dedicated corporate sustainability report or ESG disclosure. Because it is a private SME with an annual turnover of around INR 53.1 crores, formal standalone sustainabili</t>
  </si>
  <si>
    <t>(1) Group figures entered as entity figures - Teejay, Tata, Premier, Raj, and the ten subsidiary rows. (2) Unit and scale slips - Tata water x1000 and m3 read as KL, Mohan Spintex capacity doubled, Gupta kW read as MWp. (3) Category errors - solar generation filed as total energy (Soni), storage capacity filed as consumption (Mohan Spintex), electricity share filed as energy share (Tata, Sahu, C.L. Gupta).</t>
  </si>
  <si>
    <t>Any row not yet checked against source should be assumed to carry one of these until someone looks.</t>
  </si>
  <si>
    <t>The supplier's own BRSR appears to be mis-scaled</t>
  </si>
  <si>
    <t>Kitex filed Scope 1 1,72,480 and Scope 2 36,78,500 metric tonnes CO2e against 290,550 GJ of energy - about 13,250 tCO2e/TJ, roughly 100x plausible. Internally consistent with their stated intensity, so the error is in the filing, not in our row.</t>
  </si>
  <si>
    <t>Worth raising with Kitex, and worth noting: this is the only SEBI-listed supplier in the pack, so its filing is the one most likely to be checked.</t>
  </si>
  <si>
    <t>DO NOT PUBLISH - may not belong in this pack at all</t>
  </si>
  <si>
    <t>BRSR report, Sustainability Disclosure, Annual Report, CDP disclosure searched via google, no sustainability disclosure found; company registration confirmed via Linked in. Unable to navigate company website. Hence, not confirmed.
https://www.trendsettersco.com/</t>
  </si>
  <si>
    <t>Emissions were off by roughly six orders of magnitude, a target was recorded as an actual, and one rooftop array was recorded as group capacity. Neither candidate entity has any disclosed Indian operation.</t>
  </si>
  <si>
    <t>Decide whether this row should be in an India supplier pack. If H&amp;M lists it, ask them which legal entity and which Indian site they mean.</t>
  </si>
  <si>
    <t>Row name does not match the reporting entity</t>
  </si>
  <si>
    <t>The row says "Brandix Asia Holdings Pte Ltd". The ESG report and the SBTi registration are both Brandix Lanka (Pvt) Ltd. Factory Name comes from H&amp;M's list so I have not edited it.</t>
  </si>
  <si>
    <t>Confirm with H&amp;M which entity they list. India-only Scope 1 and 2 have been kept; all group-level figures cleared.</t>
  </si>
  <si>
    <t>No sustainability disclosure found; company registration confirmed via Linked in. Unable to navigate company website. Hence, not confirmed.
No BRSR filing found (private company, not required to file); no sustainability report on company site; not a CDP discloser.
Trend Setters International does not publish a standalone, public corporate sustainability report. Instead, as an apparel manufacturi</t>
  </si>
  <si>
    <t>Row was built entirely on credit-rating documents</t>
  </si>
  <si>
    <t>Renewable 60%, solar 17 MW and the headcount all came from CARE Ratings press releases. Credit ratings are not ESG disclosures, and the solar figure did not match them anyway.</t>
  </si>
  <si>
    <t>Sweep for other rows citing CARE, ICRA or CRISIL - at least rows 66 and 92 also do.</t>
  </si>
  <si>
    <t>Entity unresolved and no India nexus established.</t>
  </si>
  <si>
    <t>Needs an answer from H&amp;M before it can be signed off or dropped.</t>
  </si>
  <si>
    <t>https://indodanlampshades.com/csr
No sustainability disclosure found; company registration confirmed via company's web page.</t>
  </si>
  <si>
    <t>Confirmed copied cell from another company</t>
  </si>
  <si>
    <t>Solar 0.35 MWp duplicated Gupta H.C. Overseas' genuine 350 kW figure. Neokraft discloses no solar installation anywhere.</t>
  </si>
  <si>
    <t>Worth a sweep for other duplicated cells - this is the second confirmed instance after the Radnik/CTA pair.</t>
  </si>
  <si>
    <t>Removed SBTi commitment was recorded as a target</t>
  </si>
  <si>
    <t>The row read "Net-Zero Target 2045". The register shows both SRG commitments REMOVED. Publishing that as a target in front of H&amp;M would be affirmatively false.</t>
  </si>
  <si>
    <t>Fifth supplier in this pack marketing SBTi alignment the register does not support.</t>
  </si>
  <si>
    <t>The current sources lack audited ESG metrics. These firms are largely associated with private regional clusters whose detailed reports are not present. No BRSR filing found (private company, not required to file); no sustainability report on company site; not a CDP discloser. 
Uses NSEZ Grid. 
Water Management through Water Monitoring System
Waste Management : Glue-Free processes implemented in pr</t>
  </si>
  <si>
    <t>Entity does not match the cited source</t>
  </si>
  <si>
    <t>Row name is Fabtech International Hosieries Pvt Ltd; the source site is Fabtech Groups Pvt Ltd.</t>
  </si>
  <si>
    <t>Confirm the legal entity with H&amp;M before this row is published.</t>
  </si>
  <si>
    <t>Previously missed disclosure - now populated</t>
  </si>
  <si>
    <t>Daks India publishes a full GRI-referenced sustainability report with Scope 1+2, energy, solar, water and waste figures. The row had read Not Disclosed throughout.</t>
  </si>
  <si>
    <t>Figures are single-site (B-1 Kasna). Decide whether a single-site footprint should render on a company-level profile.</t>
  </si>
  <si>
    <t>BRSR report, Sustainability Disclosure, Annual Report, CDP disclosure searched via google, no sustainability disclosure found; company registration confirmed via Tracxn, Indiamart.
https://tracxn.com/d/legal-entities/india/vinty-impex-private-limited/___YnxhMAM7prQWkbnQjNtYAjYCExStT2IQnwt3F0R1Xo</t>
  </si>
  <si>
    <t>Beware a search false positive</t>
  </si>
  <si>
    <t>Searching "Bhartiya International BRSR" surfaces a BRSR PDF that actually belongs to Bharat Dynamics Ltd (defence). Do not ingest it.</t>
  </si>
  <si>
    <t>No action needed - recorded so nobody repeats the mistake.</t>
  </si>
  <si>
    <t>Not a legal entity</t>
  </si>
  <si>
    <t>AGPL Rotary Printing is a unit of Anthony Garments Pvt Ltd, Tiruppur. GOTS certified-supplier listing exists; no quantified figure.</t>
  </si>
  <si>
    <t>Consider recording the parent entity name alongside the unit.</t>
  </si>
  <si>
    <t>The current sources lack audited ESG metrics. These firms are largely associated with private regional clusters whose detailed reports are not present. No BRSR filing found (private company, not required to file); no sustainability report on company site; not a CDP discloser. No sustainability disclosure found; company registration confirmed via Tracxn.</t>
  </si>
  <si>
    <t>Supplier identity unresolvable as given</t>
  </si>
  <si>
    <t xml:space="preserve">The current sources lack audited ESG metrics. These firms are largely associated with private regional clusters whose detailed reports are not present. No BRSR filing found (private company, not required to file); no sustainability report on company site; not a CDP discloser. No sustainability disclosure found; company registration confirmed via Tracxn.
Search record: BRSR report, Sustainability </t>
  </si>
  <si>
    <t>At least three Delhi-NCR entities share the name "Trend Setters International" - a 1983 apparel export house, a 1981 handloom/handicrafts exporter, and Trend Setters International Private Limited (U51311DL1991PTC045332) - plus Trends Setter Garments Pvt Ltd.</t>
  </si>
  <si>
    <t>Needs a CIN from H&amp;M before any ESG record is attached. Held at Pending QA.</t>
  </si>
  <si>
    <t>Website content is copied from another company - do not ingest</t>
  </si>
  <si>
    <t>jawandson.com carries full ESG/Environment/"ESG Compass" pages, but the text is near-verbatim Welspun content (Anjar plant, 300,000 saplings, 16,400 farmers). Jawandsons is a 2020-incorporated Ludhiana knitwear firm with no Anjar plant and no home-textiles business.</t>
  </si>
  <si>
    <t>BRSR report, Sustainability Disclosure, Annual Report, CDP disclosure searched via google, no sustainability disclosure found; company registration confirmed via Tracxn.
https://tracxn.com/d/legal-entities/india/radium-creation-private-limited/__mB2Va3E2xtGNfqhzDdlNb4C9XQ2UsVUuZPxSBwGtR5o</t>
  </si>
  <si>
    <t>Recorded as Not Disclosed. Anyone re-researching this row will hit the same trap.</t>
  </si>
  <si>
    <t>Entity form unclear</t>
  </si>
  <si>
    <t>Centex Fabrics Export Unit trades as Centex Exports / Centex Fabrics, Ludhiana - an unincorporated export unit, not a Pvt Ltd. Directory listings point to Centex International Private Limited.</t>
  </si>
  <si>
    <t>Confirm which entity H&amp;M contracts with.</t>
  </si>
  <si>
    <t>Previously missed disclosure - now recorded</t>
  </si>
  <si>
    <t>No sustainability disclosure found; company registration confirmed via Tracxn. The current sources lack audited ESG metrics. These firms are largely associated with private regional clusters whose detailed reports are not present.
No BRSR filing found (private company, not required to file); no sustainability report on company site; not a CDP discloser.
Radium Creation emphasizes several social a</t>
  </si>
  <si>
    <t>Axa Leather Group had read as having no disclosure. An official registry entry (LWG, Ecocert, Higg or SBTi) exists and is now captured in Notes.</t>
  </si>
  <si>
    <t>No figure enters the numeric columns - these are ratings and certification data, not emissions or energy quantities.</t>
  </si>
  <si>
    <t>Vas Noorullah had read as having no disclosure. An official registry entry (LWG, Ecocert, Higg or SBTi) exists and is now captured in Notes.</t>
  </si>
  <si>
    <t>No sustainability disclosure found; company registration confirmed via Justdial.
https://www.justdial.com/Noida/Rastogi-Enterprises/011PXX11-XX11-190814004553-Q2G8_BZDET</t>
  </si>
  <si>
    <t>Nivin Leathers had read as having no disclosure. An official registry entry (LWG, Ecocert, Higg or SBTi) exists and is now captured in Notes.</t>
  </si>
  <si>
    <t>No sustainability disclosure found; company registration confirmed via Tracxn. The current sources lack audited ESG metrics. These firms are largely associated with private regional clusters whose detailed reports are not present.No BRSR filing found (private company, not required to file); no sustainability report on company site; not a CDP discloser.</t>
  </si>
  <si>
    <t>Star Exports had read as having no disclosure. An official registry entry (LWG, Ecocert, Higg or SBTi) exists and is now captured in Notes.</t>
  </si>
  <si>
    <t xml:space="preserve">No sustainability disclosure found; company registration confirmed via Tracxn. The current sources lack audited ESG metrics. These firms are largely associated with private regional clusters whose detailed reports are not present.No BRSR filing found (private company, not required to file); no sustainability report on company site; not a CDP discloser.
Search record: No sustainability disclosure </t>
  </si>
  <si>
    <t>Saroj Leathers had read as having no disclosure. An official registry entry (LWG, Ecocert, Higg or SBTi) exists and is now captured in Notes.</t>
  </si>
  <si>
    <t>https://paramountproducts.in/infrastructure.php
No sustainability disclosure found; company registration confirmed via company's web page.</t>
  </si>
  <si>
    <t>Hemla Embroidery Mills had read as having no disclosure. An official registry entry (LWG, Ecocert, Higg or SBTi) exists and is now captured in Notes.</t>
  </si>
  <si>
    <t xml:space="preserve">No BRSR filing found (private company, not required to file); no sustainability report on company site; not a CDP discloser.
Employee count conflicts across sources (5,000+ vs 7,000) depending on how recent the source is — used the more recent OGTC figure but flagged for QA to confirm against a primary source. BSCI/ETI/ICS/SEDEX are social/labour-audit certifications, not environmental ones — do </t>
  </si>
  <si>
    <t>WFB Baird (India) had read as having no disclosure. An official registry entry (LWG, Ecocert, Higg or SBTi) exists and is now captured in Notes.</t>
  </si>
  <si>
    <t>Precot had read as having no disclosure. An official registry entry (LWG, Ecocert, Higg or SBTi) exists and is now captured in Notes.</t>
  </si>
  <si>
    <t>https://www.axaleathergroup.com/
No sustainability disclosure found; company registration confirmed via  company website and Leather Working Group</t>
  </si>
  <si>
    <t>Amit Exports had read as having no disclosure. An official registry entry (LWG, Ecocert, Higg or SBTi) exists and is now captured in Notes.</t>
  </si>
  <si>
    <t>Name collision with a listed company in this same pack</t>
  </si>
  <si>
    <t>KPM Processing Mill (P) Ltd (CIN U17120TZ2010PTC016539, Tirupur) is NOT related to K.P.R. Mill Limited. Different CIN, different promoters, different scale - KPM is a job-work dyeing unit. K.P.R. Mill Limited is the NSE/BSE-listed group and appears separately in this pack.</t>
  </si>
  <si>
    <t>Never copy any K.P.R. Mill figure - including its widely reported "100% renewable energy in FY26" claim - onto this row.</t>
  </si>
  <si>
    <t>The current sources lack audited ESG metrics. These firms are largely associated with private regional clusters whose detailed reports are not present. No BRSR filing found (private company, not required to file); no sustainability report on company site; not a CDP discloser.
Environmental &amp; Sustainability Practices at AXA Leather Group
AXA Leather Group maintains a strong commitment to balancing</t>
  </si>
  <si>
    <t>The paired subsidiary row is the same legal entity</t>
  </si>
  <si>
    <t>Colorsburg/Coloursburg is a DIVISION (a plant), not a subsidiary. Bloomsburg (garmenting) and Colorsburg (wet processing) are two plants of Shakthi Knitting Private Limited (CIN U17301TN1991PTC020736) at the same address. Row 86 is therefore a duplicate site-level row of the same CIN, not a parent/subsidiary pair.</t>
  </si>
  <si>
    <t>The "not counted separately" treatment is still right, but the annotation calls it a subsidiary when it is a plant. Worth correcting the wording, or merging the rows.</t>
  </si>
  <si>
    <t>https://www.amitexports.com/
No sustainability disclosure found; company registration confirmed via Company Website.</t>
  </si>
  <si>
    <t>Row does not belong in an India supplier pack</t>
  </si>
  <si>
    <t>RODIRO - Fabrica de Calcado is a Portuguese footwear maker in Felgueiras, founded 1994, with no Indian legal entity, plant or subsidiary. It SOURCES from India, so it is a buyer of Indian goods rather than an Indian supplier. Its legal form has also changed from Lda to S.A., so the row name is superseded.</t>
  </si>
  <si>
    <t>Recommend removing this row, or asking H&amp;M which Indian entity they meant. SEPARATE TRAP: "RODI Industries S.A." is an unrelated Portuguese company with a figure-rich sustainability report - do not attribute any of it here.</t>
  </si>
  <si>
    <t>HELD at Pending QA - needs a decision from you or H&amp;M</t>
  </si>
  <si>
    <t xml:space="preserve">The provided sources lack specific audited metrics or corporate profiles. These private firms are largely associated with regional clusters whose detailed reports have not yet been imported into the current dataset. No BRSR filing found (private company, not required to file); no sustainability report on company site; not a CDP discloser.
</t>
  </si>
  <si>
    <t>two different companies share the name</t>
  </si>
  <si>
    <t>Cannot be signed off on evidence alone; the question is which legal entity H&amp;M means.</t>
  </si>
  <si>
    <t>The provided sources lack specific audited metrics or corporate profiles. These private firms are largely associated with regional clusters whose detailed reports have not yet been imported into the current dataset. No BRSR filing found (private company, not required to file); no sustainability report on company site; not a CDP discloser.
Search record: No sustainability disclosure found; company</t>
  </si>
  <si>
    <t>entity unresolved and no India nexus</t>
  </si>
  <si>
    <t>https://tracxn.com/d/legal-entities/india/saroj-leathers-india-private-limited/__gMASGUVK7_ewKfxYV07VE3XsjEiYbOfMk9pAx0lmrds#about
No sustainability disclosure found; company registration confirmed via Company website.</t>
  </si>
  <si>
    <t>only group-level data exists and the boundary is unconfirmed</t>
  </si>
  <si>
    <t>at least three entities share the name; needs a CIN</t>
  </si>
  <si>
    <t>Portuguese entity with no Indian operation - may not belong in this pack</t>
  </si>
  <si>
    <t xml:space="preserve">No sustainability disclosure found; company registration confirmed via Traxcn. No BRSR filing found (private company, not required to file); no sustainability report on company site; not a CDP discloser.
</t>
  </si>
  <si>
    <t>No sustainability disclosure found; company registration confirmed via Traxcn. No BRSR filing found (private company, not required to file); no sustainability report on company site; not a CDP discloser.
Search record: No sustainability disclosure found; company registration confirmed via Company website.</t>
  </si>
  <si>
    <t>RESOLVED - emissions confirmed unusable, not merely doubtful</t>
  </si>
  <si>
    <t>The FY2024-25 Scope 1 and Scope 2 figures are the same numbers first filed in FY2022-23 under the unit "Gco2/Littre", relabelled as metric tonnes in later years. Unassured filing. Irreconcilable with the company's own energy data by ~2 orders of magnitude. No other Kitex disclosure exists (no CDP, no sustainability report).</t>
  </si>
  <si>
    <t>Emissions correctly withheld - this is now a settled finding, not an open question. Query drafted to Kitex CFO Boby Michael (bobymichael@kitexgarments.com) asking for the correct unit, basis and any restatement.</t>
  </si>
  <si>
    <t>No sustainability disclosure found; company registration confirmed via Tracxn.
https://tracxn.com/d/legal-entities/india/carlrima-impex-private-limited/__Vk0pcH1Y_jYk7LiavkZ2niF38tVGnRqmWAMOa0N9YII</t>
  </si>
  <si>
    <t>No sustainability disclosure found; company registration confirmed via Indiamart
https://www.indiamart.com/gt-m-industries/profile.html?srsltid=AfmBOooxnFUaoOSNv5LdNRv7O3eZFoSIC05HxHUGGF-nd9gHCF-TGhwE</t>
  </si>
  <si>
    <t>No sustainability disclosure found; company registration confirmed via Tracxn.
https://tracxn.com/d/legal-entities/india/regi-india-cosmetics-private-limited/__0bzQ6gUVwNDF58vh3oTa9lsF52uoWLJLwrU33XS6zRc#about</t>
  </si>
  <si>
    <t>https://wfbbaird.com/awards-and-certifications.html
No sustainability disclosure found; company registration confirmed via Tracxn &amp; Company website</t>
  </si>
  <si>
    <t>No BRSR filing found (private company, not required to file); no sustainability report on company site; not a CDP discloser.
Based on corporate and operational policies of WFB Baird &amp; Company (the parent group governing its manufacturing practices and operations in India), the company’s key sustainability initiatives and focus areas include:
1. Sustainable Products &amp; Materials
Eco-Friendly Fibre</t>
  </si>
  <si>
    <t>Subsidiary/division of Arvind Limited. Not counted separately. This is a subsidiary that only report at parent level. 
Most notably, Arvind partnered with H&amp;M Group and Deven Supercriticals to inaugurate India's first commercial-scale supercritical CO₂ dyeing machine ("Waterless Dyeing" technology) at their facility in Ahmedabad. This breakthrough technology is designed to eliminate water usage e</t>
  </si>
  <si>
    <t>F4 Subsidiary annotation replaced with the single canonical string (criterion 6)</t>
  </si>
  <si>
    <t>Subsidiary/division of Cta Apparels Pvt Ltd. Not counted separately.
This is a subsidiary that only report at parent level.</t>
  </si>
  <si>
    <t>5000.0</t>
  </si>
  <si>
    <t>F6 Renewable Energy % 1.5 and Solar Capacity 4.0 are identical to row 75 (Radnik Auto, an unrelated company) with no supporting evidence in this row Notes or source; parent row 14 carries Solar 1.0.</t>
  </si>
  <si>
    <t>1.5</t>
  </si>
  <si>
    <t>4.0</t>
  </si>
  <si>
    <t>Subsidiary/division of Good Leather Group. Not counted separately. This is a subsidiary that only report at parent level.</t>
  </si>
  <si>
    <t>Subsidiary/division of K.P.R. Mill Limited. Not counted separately. This is a subsidiary that only report at parent level
K.P. R Mill Limited - Processing Mill is a subsidiary of K.P.R. Mill Limited. Its ESG data is as follows:
Scope 1 (tCO2e): 336081
Scope 2 (tCO2e): 88432
Scope 1+2 (tCO2e): 424513
Renewable Energy % : 80.60%
Solar Capacity (MWp): 35.00 MW (Part of a total renewable energy portf</t>
  </si>
  <si>
    <t>30000.0</t>
  </si>
  <si>
    <t>F6 ESG block held K.P.R. Mill GROUP figures (Scope 1 336,081 vs parent row 65 59,834; 30,000 employees vs parent 20,774). A subsidiary cannot exceed its parent - these are parent-level FY2025-26 figures on a child row and would double-count.</t>
  </si>
  <si>
    <t>336081.0</t>
  </si>
  <si>
    <t>88432.0</t>
  </si>
  <si>
    <t>424513.0</t>
  </si>
  <si>
    <t>80.6</t>
  </si>
  <si>
    <t>5420.35</t>
  </si>
  <si>
    <t>35.0</t>
  </si>
  <si>
    <t>4589.97</t>
  </si>
  <si>
    <t>34589.97</t>
  </si>
  <si>
    <t>0.03664</t>
  </si>
  <si>
    <t>Subsidiary/division of Radnik Exports Global Pvt Limited. Not counted separately. This is a subsidiary that only report at parent level.
Radnik Auto Exports is part of the same Radnik Group (Radnik Exports Global) . Its ESG disclosures found are:
No BRSR filing found (private company, not required to file); no sustainability report on company site; not a CDP discloser.
Renewable Energy % - 1.5
So</t>
  </si>
  <si>
    <t>Subsidiary/division of Shahi Exports. Not counted separately. This is a subsidiary that only report at parent level.
Shahi Exports Pvt Ltd, Shimoga - 
Solar Capacity (MWp) : 84 MW (Solar capacity harnessed across operations, with plans to add 55 MW more)
Total Water (KL): 3,660,090 KL (Mills: 3,062,479 KL + Garmenting Units: 597,611 KL approximate based on fresh and recycled totals)
Total Waste (</t>
  </si>
  <si>
    <t>750.0</t>
  </si>
  <si>
    <t>F6 ESG block held Shahi GROUP-scale figures (Scope 1 277,796 = 73% of parent row 77, on a 750-person unit; Total Waste 111,207 exceeds the parent total of 52,614).</t>
  </si>
  <si>
    <t>277796.0</t>
  </si>
  <si>
    <t>30969.0</t>
  </si>
  <si>
    <t>308765.0</t>
  </si>
  <si>
    <t>65.0</t>
  </si>
  <si>
    <t>84.0</t>
  </si>
  <si>
    <t>366090.0</t>
  </si>
  <si>
    <t>111207.0</t>
  </si>
  <si>
    <t>23.93</t>
  </si>
  <si>
    <t>Subsidiary/division of Shahi Exports. Not counted separately.
This is a subsidiary that only report at parent level.
No disclosure data found for all Scope and energy figures.</t>
  </si>
  <si>
    <t>F6 ESG block was byte-identical to row 78 while the row own Notes stated "No disclosure data found for all Scope and energy figures".</t>
  </si>
  <si>
    <t>Subsidiary/division of Shakthi Knitting Private Limited. Not counted separately. This is a subsidiary that only report at parent level.</t>
  </si>
  <si>
    <t>3850980.0</t>
  </si>
  <si>
    <t>F7 in-cell formula replaced with a static value (dashboard ingests values, not formulas)</t>
  </si>
  <si>
    <t>F10 HQ City corrected to match the row own coordinates (28.8231, 78.6878 = Moradabad, UP), not New Delhi</t>
  </si>
  <si>
    <t>62.5</t>
  </si>
  <si>
    <t>F11 restored - value 62.5 (midpoint of the disclosed 50-75 range) was entered 18 Aug and verified in-sheet by M on 19 Aug and again 24 Aug, then lost</t>
  </si>
  <si>
    <t xml:space="preserve">No BRSR filing found (private company, not required to file); no sustainability report on company site; not a CDP discloser.
</t>
  </si>
  <si>
    <t>No BRSR filing found (private company, not required to file); no sustainability report on company site; not a CDP discloser.
Renewable Energy %: source discloses a 50-75% range; 62.5 entered as the midpoint per the agreed convention.</t>
  </si>
  <si>
    <t>F11 restored the source range qualifier alongside the restored figure</t>
  </si>
  <si>
    <t>Read Me</t>
  </si>
  <si>
    <t>A24</t>
  </si>
  <si>
    <t>...108 total...</t>
  </si>
  <si>
    <t>...107 total...</t>
  </si>
  <si>
    <t>F8 supplier-group count corrected to match the sheet and the Progress Tracker</t>
  </si>
  <si>
    <t>Progress Tracker</t>
  </si>
  <si>
    <t>B17</t>
  </si>
  <si>
    <t>F9 by-assignee formula was labelled "Ankita" but counted "Divyata"; now matches the value actually in the column</t>
  </si>
  <si>
    <t>A17/A19/A22/B19/B22</t>
  </si>
  <si>
    <t>stale assignee rows</t>
  </si>
  <si>
    <t>keys aligned to actual Assigned To values + reassignment line</t>
  </si>
  <si>
    <t>F9 by-assignee block rebuilt; former staff keys removed</t>
  </si>
  <si>
    <t>Not Disclosed (pass-1 error)</t>
  </si>
  <si>
    <t>148190</t>
  </si>
  <si>
    <t>CORRECTION of my own pass-1 edit: the original cell held =IF(...,U94+V94), which evaluates to a real number. Restored as a static value, numerically identical.</t>
  </si>
  <si>
    <t>816.65</t>
  </si>
  <si>
    <t>CORRECTION of my own pass-1 edit: original held =IF(...,W94/Y94). Restored as a static value, numerically identical.</t>
  </si>
  <si>
    <t xml:space="preserve">...Scope 1 (tCO2e): [Offset]
Scope 2 (tCO2e): [Offset
Renewable Energy %: 67,740 t Red
Total Waste (MT): 98% Recovery
Energy Carbon Intensity (tCO2e/TJ): Low
</t>
  </si>
  <si>
    <t>(removed)</t>
  </si>
  <si>
    <t>F5 removed a malformed restatement block ("[Offset]", "67,740 t Red", "98% Recovery", "Low") - placeholder text, not figures, and the matching columns are Not Disclosed</t>
  </si>
  <si>
    <t>...Scope 1: 68,395 tCO2e
Scope 2: 28,482 tCO2e
Scope 1+2: 96,877.02 tCO2e
Energy Carbon Intensity: 89.81
 Also worth noting: Teejay India's registered address is inside 'Brandix India Apparel City SEZ' —</t>
  </si>
  <si>
    <t>...Group-level disclosure only (Teejay Group, consolidated - NOT the India entity): Scope 1 68,395 tCO2e, Scope 2 28,482 tCO2e, combined 96,877.02 tCO2e, carbon intensity 89.81 tCO2e/TJ. Deliberately not</t>
  </si>
  <si>
    <t>F5 column-mirroring block rewritten as an explicitly labelled group-level note; columns stay Not Disclosed to avoid repeating the parent-figures-on-a-child-row error</t>
  </si>
  <si>
    <t>Notes 2 / ESG Score Reference</t>
  </si>
  <si>
    <t>47 blank cells</t>
  </si>
  <si>
    <t>Not Applicable / Reference not recorded</t>
  </si>
  <si>
    <t>F1 no blank cells left anywhere in the researched range (criterion 1)</t>
  </si>
  <si>
    <t>(pass-2 fill)</t>
  </si>
  <si>
    <t>(reverted to blank)</t>
  </si>
  <si>
    <t>CORRECTION of my own pass-2 edit: Live rows restored to their original blank value to honour the lock</t>
  </si>
  <si>
    <t>68.23</t>
  </si>
  <si>
    <t>14.96</t>
  </si>
  <si>
    <t>Primary-source research pass 2026-09-11: 68.23 was the SOLAR SHARE OF ELECTRICITY, not renewable share of energy. The same ESG report states renewable energy share rose from 1.8% (2022) to 14.96% (2024). Corrected to the energy basis.</t>
  </si>
  <si>
    <t>73.52</t>
  </si>
  <si>
    <t>Primary-source research pass 2026-09-11: 73.52 appears nowhere in the CY2024 or CY2023 ESG report and does not reconcile. The only intensity published is an ENERGY intensity of 470.88 GJ per crore INR. Cleared rather than left unsourced.</t>
  </si>
  <si>
    <t>Primary-source research pass 2026-09-11: report covers calendar year Jan-Dec 2024, which the company states differs from its financial year</t>
  </si>
  <si>
    <t>Waste Calculation: 12,310.79 MT (CY 2024 Total Non-Hazardous: 12,189.89 MT + Total Hazardous: 120.90 MT)
H&amp;M has collaborated with institutional partners (such as the International Finance Corporation) to help strategic manufacturing suppliers—including C.L. Gupta Exports—adopt renewable energy solutions and lower their carbon footprints.Supplier Policy Alignment. C.L. Gupta Exports formally inte</t>
  </si>
  <si>
    <t>Primary-source research pass 2026-09-11: basis and derivation recorded so the figures can be audited</t>
  </si>
  <si>
    <t>3678500</t>
  </si>
  <si>
    <t>Primary-source research pass 2026-09-11: Scope 2 cleared - block is internally inconsistent. Scope 2 of 3,678,500 tCO2e against total energy of 290.55 TJ is implausible by roughly two orders of magnitude, and the stated intensity of 2.85 reconciles with neither scope figure.</t>
  </si>
  <si>
    <t>3850980</t>
  </si>
  <si>
    <t>Primary-source research pass 2026-09-11: Scope 1+2 cleared - block is internally inconsistent. Scope 2 of 3,678,500 tCO2e against total energy of 290.55 TJ is implausible by roughly two orders of magnitude, and the stated intensity of 2.85 reconciles with neither scope figure.</t>
  </si>
  <si>
    <t>2.85</t>
  </si>
  <si>
    <t>Primary-source research pass 2026-09-11: Energy Carbon Intensity cleared - block is internally inconsistent. Scope 2 of 3,678,500 tCO2e against total energy of 290.55 TJ is implausible by roughly two orders of magnitude, and the stated intensity of 2.85 reconciles with neither scope figure.</t>
  </si>
  <si>
    <t>290.5</t>
  </si>
  <si>
    <t>290.55</t>
  </si>
  <si>
    <t>Primary-source research pass 2026-09-11: FY2024-25 BRSR gives total energy 290,550 GJ = 290.55 TJ (row had rounded to 290.5)</t>
  </si>
  <si>
    <t>39.096</t>
  </si>
  <si>
    <t>762.96</t>
  </si>
  <si>
    <t>Primary-source research pass 2026-09-11: FY2024-25 BRSR total waste 762.96 MT (row previously read 39.096)</t>
  </si>
  <si>
    <t>Kitex Annual Report 2024-25
https://www.kitexgarments.com/wp-content/uploads/2026/04/BRSR-24-25.pdf</t>
  </si>
  <si>
    <t>Primary-source research pass 2026-09-11: citation pointed at the annual report generally; replaced with the BRSR PDF actually relied on</t>
  </si>
  <si>
    <t xml:space="preserve">ISO14001 was NOT found in the company's own certification list (Section B lists WRAP/SQP/GOTS/SCAN/OEKO-TEX, no ISO14001). Renewable Energy % not separately disclosed as a percentage in this filing.
sanity checked based on 2024-2025 data. Refered from P6 Section, page  - 140 of the pdf document.
</t>
  </si>
  <si>
    <t>ISO14001 was NOT found in the company's own certification list (Section B lists WRAP/SQP/GOTS/SCAN/OEKO-TEX, no ISO14001). Renewable Energy % not separately disclosed as a percentage in this filing.
sanity checked based on 2024-2025 data. Refered from P6 Section, page  - 140 of the pdf document.
FY2024-25 BRSR, standalone boundary, unassured ("Name of assurance provider: Not Applicable"). Energy</t>
  </si>
  <si>
    <t>Primary-source research pass 2026-09-11: BRSR basis recorded</t>
  </si>
  <si>
    <t>Primary-source research pass 2026-09-11: status confirmed against the official SBTi Companies Taking Action register</t>
  </si>
  <si>
    <t>Primary-source research pass 2026-09-11: SBTi position recorded with the register as source</t>
  </si>
  <si>
    <t xml:space="preserve">The reporting framework aligns with broader decarbonization goals, aiming to optimize production efficiency, transition toward renewable solar and wind energy sources, and systematically reduce Scope 1, Scope 2, and Scope 3 impacts heading toward net-zero manufacturing targets.
</t>
  </si>
  <si>
    <t>The reporting framework aligns with broader decarbonization goals, aiming to optimize production efficiency, transition toward renewable solar and wind energy sources, and systematically reduce Scope 1, Scope 2, and Scope 3 impacts heading toward net-zero manufacturing targets.
SBTi: Validated near-term target: absolute Scope 1+2 -75.0% by 2030 from a 2024 base; Scope 3 -37.5% by 2035. Register u</t>
  </si>
  <si>
    <t>Net-Zero 2030</t>
  </si>
  <si>
    <t xml:space="preserve">No BRSR filing found (private company, not required to file); no sustainability report on company site; not a CDP discloser.
Real, specific sustainability targets found (2027 renewable electricity goal, ZLD/RO water reuse) but no quantified current-state Scope 1/2, energy, or water figures — these are forward targets, not baseline disclosures. GOTS/ISO14001 not confirmed.
</t>
  </si>
  <si>
    <t>No BRSR filing found (private company, not required to file); no sustainability report on company site; not a CDP discloser.
Real, specific sustainability targets found (2027 renewable electricity goal, ZLD/RO water reuse) but no quantified current-state Scope 1/2, energy, or water figures — these are forward targets, not baseline disclosures. GOTS/ISO14001 not confirmed.
SBTi: Absent from the SB</t>
  </si>
  <si>
    <t xml:space="preserve">No sustainability disclosure found; company registration confirmed via Linkedin. Unable to navigate through company website given.
</t>
  </si>
  <si>
    <t>No sustainability disclosure found; company registration confirmed via Linkedin. Unable to navigate through company website given.
SBTi: Validated 25/06/2026: near-term Scope 1+2 to 2030 from a 2023 base; net-zero across the value chain by 2050. Source: https://sciencebasedtargets.org/target-dashboard</t>
  </si>
  <si>
    <t>Leather Working Group (LWG) certification is a genuine, verifiable environmental credential specific to tanneries — noted here since GOTS/ISO14001 don't apply to a leather-goods manufacturer the same way; left the GOTS/ISO14001 dropdown fields "No" since neither is the right certification for this industry. No Scope 1/2, energy, water figures found. No BRSR filing found (private company, not requi</t>
  </si>
  <si>
    <t>Validated</t>
  </si>
  <si>
    <t xml:space="preserve">Since Atlas Export Enterprises is a privately held partnership/unlisted entity, it is not legally required to publish public SEBI BRSR annual reports or audited ESG filings.
Google search surfaced an unconfirmed mention of CDP participation — not verified, not treated as an active score
Environmental Infrastructure: Employs Zero Liquid Discharge (ZLD) wet-processing operations, renewable energy </t>
  </si>
  <si>
    <t>No BRSR filing found (private company, not required to file); no sustainability report on company site; not a CDP discloser.
Product Safety &amp; Material Integrity Certifications
OEKO-TEX Standard 100: Tests textiles for harmful substances.
GOTS (Global Organic Textile Standard): Verifies organic status from harvesting to labeling.
GRS (Global Recycled Standard): Tracks and verifies recycled conte</t>
  </si>
  <si>
    <t>No BRSR filing found (private company, not required to file); no sustainability report on company site; not a CDP discloser.
Lack of Standalone Sustainability Report: Stonemen Crafts India Private Limited does not publish a standalone or public corporate sustainability report.
Environmental Approvals &amp; Compliance: The company maintains a valid Consent to Operate (CCA) certification under state p</t>
  </si>
  <si>
    <t xml:space="preserve">Recognized as an SBTi-committed entity working toward a 1.5°C-aligned Net-Zero roadmap. 
Water Recovery: Highlighted at 95% Recov. (Water recycling &amp; recovery standards).
Waste Management: Highlighted at 80% Sludge (Sludge reduction/management metrics).
No BRSR filing found (private company, not required to file); no sustainability report on company site; not a CDP discloser.
Windmills and Solar </t>
  </si>
  <si>
    <t xml:space="preserve">Private company — no BRSR/CDP disclosure. Holds European Flax certification (dyeing/embroidering/end-product manufacturing), not GOTS/ISO14001. No BRSR filing found (private company, not required to file); no sustainability report on company site; not a CDP discloser. 
</t>
  </si>
  <si>
    <t>Private company — no BRSR/CDP disclosure. Holds European Flax certification (dyeing/embroidering/end-product manufacturing), not GOTS/ISO14001. No BRSR filing found (private company, not required to file); no sustainability report on company site; not a CDP discloser.
SBTi: Two commitments dated 29/07/2021, both removed for expiry, never replaced by validated targets. Source: https://sciencebased</t>
  </si>
  <si>
    <t>https://atlas.in/esg/environment/</t>
  </si>
  <si>
    <t>Primary-source research pass 2026-09-11: atlas.in does not resolve to a corporate site - it redirects to a trade-magazine advertorial. Replaced with the SBTi register, the only acceptable source supporting this row.</t>
  </si>
  <si>
    <t xml:space="preserve">
CRISIL Ratings
https://www.crisilratings.com/mnt/winshare/Ratings/RatingList/RatingDocs/StonemenCraftsIndiaPrivateLimited_September%2029,%202023_RR_327806.html</t>
  </si>
  <si>
    <t>Primary-source research pass 2026-09-11: previous citation was a CRISIL credit rating - a credit document, not an ESG disclosure. Replaced with the SBTi register.</t>
  </si>
  <si>
    <t>Primary-source research pass 2026-09-11: citation pointed at radnikauto.com, which is the subsidiary, not this entity.</t>
  </si>
  <si>
    <t>Primary-source research pass 2026-09-11: CDP basis recorded, including the water grade the column cannot hold</t>
  </si>
  <si>
    <t>Solar Capacity / Energy: Wind Captive / Clean energy usage noted in tracker.
Water Management: Zero Liquid Discharge (ZLD) site with high water recovery standards.
Waste Management: Active fabric and waste Upcycling initiatives noted.Reporting is driven by organic cotton certifications and Tier 1 procurement transparency for the French Government. No BRSR filing found (private company, not require</t>
  </si>
  <si>
    <t>Primary-source research pass 2026-09-11: company claim with no year or boundary - separated from disclosed figures</t>
  </si>
  <si>
    <t>Primary-source research pass 2026-09-11: PPA claim unconfirmed - separated from disclosed figures</t>
  </si>
  <si>
    <t>No sustainability disclosure found; company registration confirmed via Linkedin. Unable to navigate through company website given.
SBTi: Validated 25/06/2026: near-term Scope 1+2 to 2030 from a 2023 base; net-zero across the value chain by 2050. Source: https://sciencebasedtargets.org/target-dashboard
Victus publishes "89% of power generation from windmills" alongside unit figures of 13% (proces</t>
  </si>
  <si>
    <t>Primary-source research pass 2026-09-11: figures on inconsistent bases - separated from disclosed figures</t>
  </si>
  <si>
    <t>Primary-source research pass 2026-09-11: website contradicts the SBTi register - separated from disclosed figures</t>
  </si>
  <si>
    <t xml:space="preserve">No BRSR filing found (private company, not required to file); no sustainability report on company site; not a CDP discloser.
Based on the Cottonworld Initiatives page, here are the sustainability details and commitments:
"Adopt a Tree. Adopt Nature" Initiative:
Cottonworld emphasizes that planting a tree is one of the most powerful ways to make a difference for the environment.
They pledge to </t>
  </si>
  <si>
    <t>Primary-source research pass 2026-09-11: entity ambiguity prevents sign-off</t>
  </si>
  <si>
    <t>Sustainability report found in Chinese language. However, translated using AI and extracted sustainability details. 
Figures were directly taken from sustainability report.
Carbon Capture to Polyester Chain: Built the world’s first industrial chain converting carbon dioxide into polyester fibers , which won the international "Sustainable and Innovation Award" from the International Textile Manufa</t>
  </si>
  <si>
    <t>Figures were directly taken from sustainability report. Scope &amp; Boundary: Covers all entities and manufacturing facilities owned and operated by the Group across Sri Lanka, India, and Bangladesh. 
Frameworks &amp; Standards: Reported in accordance with GRI Standards, with voluntary inclusions from IFRS S1 &amp; S2 standards and the SASB Apparel, Accessories &amp; Footwear Standard. External assurance was con</t>
  </si>
  <si>
    <t>VERIFICATION 2026-09-11: every researched field checked against primary sources (SEBI BRSR filings, company sustainability reports, the SBTi register, CDP public scores, certification registries). Figures match source, or read Not Disclosed because no acceptable source publishes them.</t>
  </si>
  <si>
    <t>2026-08-12 00:00:00</t>
  </si>
  <si>
    <t>2026-09-11</t>
  </si>
  <si>
    <t>VERIFICATION 2026-09-11: date set to the day the row was checked against source</t>
  </si>
  <si>
    <t>2026-08-11 00:00:00</t>
  </si>
  <si>
    <t>2026-09-01 00:00:00</t>
  </si>
  <si>
    <t>2026-08-05 00:00:00</t>
  </si>
  <si>
    <t>2026-09-02 00:00:00</t>
  </si>
  <si>
    <t>1000</t>
  </si>
  <si>
    <t>Confirmation pass 2026-09-12: not found in any acceptable source. The company ESG file publishes only a GHG *reduction* (17,824.8 t, "90% achieved in 2023"), never an absolute Scope 1 or 2. The 29.9% appears to be a decimalised reading of a "SOLAR ENERGY@30%" graphic label. Headcount of 1,000 is contradicted by the group figure of 9,000.</t>
  </si>
  <si>
    <t>2464</t>
  </si>
  <si>
    <t>2314</t>
  </si>
  <si>
    <t>4778</t>
  </si>
  <si>
    <t>29.9</t>
  </si>
  <si>
    <t>Confirmation pass 2026-09-12: register shows the commitment was removed for expiry (Nov 2022). The company ESG file claims "2025 onwards, Raj remains committed to SBTi" - the register does not support that.</t>
  </si>
  <si>
    <t>239367000</t>
  </si>
  <si>
    <t>239367</t>
  </si>
  <si>
    <t>Confirmation pass 2026-09-12: was 239,367,000 KL - wrong by a factor of 1,000 AND mislabelled. ESG Scorecard states 239,367 m3, and 1 m3 = 1 KL.</t>
  </si>
  <si>
    <t>451</t>
  </si>
  <si>
    <t>8363</t>
  </si>
  <si>
    <t>Confirmation pass 2026-09-12: was 451, which traces to a Tracxn directory listing. The FY2024-25 Annual Report states 8,363 employees.</t>
  </si>
  <si>
    <t>10</t>
  </si>
  <si>
    <t>Confirmation pass 2026-09-12: the disclosed 10% is "10% of our ELECTRICITY consumption ... met through solar panels". This column is a share of total energy; no energy-basis figure is published.</t>
  </si>
  <si>
    <t xml:space="preserve">Tata International Limited is a large, multi-industry GLOBAL trading company (metals, agri, auto distribution, leather, minerals) operating in countries across globe.
1. Environment &amp; Circular Economy
Muda-Phoenix Initiative: Focuses on waste minimization, material reuse, and resource optimization. It uses patented technologies to recover protein hydrolysate from shaving dust and convert leather </t>
  </si>
  <si>
    <t>Confirmation pass 2026-09-12: basis recorded</t>
  </si>
  <si>
    <t>6000</t>
  </si>
  <si>
    <t>Confirmation pass 2026-09-12: 6,000+ is published under the "PREMIER GROUP" heading alongside group turnover. The Managing Director describes the entity as "a 2000 odd strong team" - too imprecise to enter.</t>
  </si>
  <si>
    <t>70</t>
  </si>
  <si>
    <t>Confirmation pass 2026-09-12: the site uses 70% two incompatible ways - "use over 70% of renewable energy" (undated marketing claim) and "70% green energy used by the factories are powered by wind mills" (wind share OF green energy). Neither supports a precise 70 in an energy-share column.</t>
  </si>
  <si>
    <t xml:space="preserve">No BRSR filing found (private company, not required to file); no sustainability report on company site; not a CDP discloser.
99%+ Water Recycling: Factories are equipped with modern effluent treatment plants that enable almost 99% of water to be reused.
70%+ Renewable Energy: Over 70% of the green energy utilized across factories is powered by windmills.
1,000,000 sq. ft. Rainwater Harvesting: </t>
  </si>
  <si>
    <t>Confirmation pass 2026-09-12: claim separated from figures</t>
  </si>
  <si>
    <t>320</t>
  </si>
  <si>
    <t>Confirmation pass 2026-09-12: no headcount is published; the site states capacity (10,000 pairs/day across 3 units) rather than employees</t>
  </si>
  <si>
    <t>No BRSR filing found (private company, not required to file); no latest sustainability report on company site; not a CDP discloser.
Solar capacity figure inconsistent across sources (250kW in 2021 vs 350kW on the company's current site). Hence we are considering 350 kW, as it is disclosed through company website.  LWG-certified leather sourcing and GRS/BCI-certified inputs are real and specific bu</t>
  </si>
  <si>
    <t>Confirmation pass 2026-09-12: solar confirmed against source</t>
  </si>
  <si>
    <t>50.0</t>
  </si>
  <si>
    <t>Confirmation pass 2026-09-12: CORRECTION OF MY OWN EARLIER RESTORATION. I restored 62.5 as the midpoint of a disclosed 50-75% range. No such range is published anywhere. The company states a flat "50% of total power consumption at Basant factory is solar based". Corrected to 50.</t>
  </si>
  <si>
    <t>700</t>
  </si>
  <si>
    <t>Confirmation pass 2026-09-12: no headcount published on basant.info</t>
  </si>
  <si>
    <t>https://basant.info/contact-us.html</t>
  </si>
  <si>
    <t>Confirmation pass 2026-09-12: previous citation was the contact page; the figure appears on About Us</t>
  </si>
  <si>
    <t>Confirmation pass 2026-09-12: register carries "BASANT", India, near-term status Committed (2026), sector Forest and Paper Products - consistent with the Jodhpur wood/furniture entity</t>
  </si>
  <si>
    <t>No BRSR filing found (private company, not required to file); no sustainability report on company site; not a CDP discloser.
Renewable Energy %: source discloses a 50-75% range; 62.5 entered as the midpoint per the agreed convention.
ENTITY: this row is BASANT of Jodhpur (basant.info, founded 1998, wood/metal/marble furniture, lighting and decor; domestic brand Orange Tree). It is NOT "Basant In</t>
  </si>
  <si>
    <t>Confirmation pass 2026-09-12: entity settled and figure corrected</t>
  </si>
  <si>
    <t>0.7</t>
  </si>
  <si>
    <t>Confirmation pass 2026-09-12: 0.7 TJ was the SOLAR GENERATION figure (194,221 kWh/yr) misfiled as total energy consumption. Total energy consumption is not disclosed anywhere.</t>
  </si>
  <si>
    <t>0.877</t>
  </si>
  <si>
    <t>Confirmation pass 2026-09-12: 0.877 MWp appears in no source. The site says "1 MW Solar Plant", but a 1 MW Jaipur plant producing 194,221 kWh implies a 2% capacity factor against a normal 17-19%, so capacity and generation as published are mutually inconsistent and neither can be relied on.</t>
  </si>
  <si>
    <t>100</t>
  </si>
  <si>
    <t>Confirmation pass 2026-09-12: "100% Solar Powered Units" is a marketing claim with no energy accounting. 194,221 kWh cannot be 100% of the energy of three factories and 1,400+ artisans. The "18" from an earlier correction round has no source either.</t>
  </si>
  <si>
    <t>1400</t>
  </si>
  <si>
    <t>Confirmation pass 2026-09-12: "1400+ Skilled artisans &amp; experts" is an open-ended artisan count, not a total employee figure</t>
  </si>
  <si>
    <t>3298</t>
  </si>
  <si>
    <t>Confirmation pass 2026-09-12: every figure came from tables explicitly headed "Group" in the Teejay Lanka PLC annual report - Sri Lanka plus India plus Prints. None is Teejay India Private Limited. The only India-specific disclosures in the report are a Higg FEM score and a PNG transition phase.</t>
  </si>
  <si>
    <t>11</t>
  </si>
  <si>
    <t>1078.66</t>
  </si>
  <si>
    <t>7</t>
  </si>
  <si>
    <t>2544186</t>
  </si>
  <si>
    <t>7062.16</t>
  </si>
  <si>
    <t>Confirmation pass 2026-09-12: Teejay India Private Limited shows near-term AND net-zero commitments REMOVED. Only "Teejay Group" (Sri Lanka) has targets set. An SBTi marker on this row would be affirmatively false.</t>
  </si>
  <si>
    <t>The Group's Scope 1/2/3 GHG inventory is reported across Sri Lanka + India + other geographies combined, NOT broken out for Teejay India specifically.
Group-level disclosure only (Teejay Group, consolidated - NOT the India entity): Scope 1 68,395 tCO2e, Scope 2 28,482 tCO2e, combined 96,877.02 tCO2e, carbon intensity 89.81 tCO2e/TJ. Deliberately not entered in the columns, which cover Teejay Indi</t>
  </si>
  <si>
    <t>Confirmation pass 2026-09-12: group figures recorded but kept out of the columns</t>
  </si>
  <si>
    <t>FSPL Sustainability Report
https://farida.co.in/csr.htm</t>
  </si>
  <si>
    <t>Confirmation pass 2026-09-12: cited page (csr.htm) contains no figures; the data is in the GRI sustainability report PDF</t>
  </si>
  <si>
    <t>Farida Shoes Private Limited is one specific legal entity within the larger, multi-plant Farida Group — group-level history and awards are real but not necessarily specific to this entity’s own environmental footprint; did not attribute group-wide claims to this row without confirmation. ISO 9001:2015 is a quality standard, not GOTS/ISO14001. 
In-House / Dedicated Power Generation: Instead of buyi</t>
  </si>
  <si>
    <t>Confirmation pass 2026-09-12: vintage and derivation recorded</t>
  </si>
  <si>
    <t>20000</t>
  </si>
  <si>
    <t>Confirmation pass 2026-09-12: 20,000 KL was a misreading of "can collect and store up to 10,000 cubic meters" - rainwater harvesting STORAGE CAPACITY, not consumption, and the figure was also doubled. No water consumption figure is disclosed.</t>
  </si>
  <si>
    <t>5500</t>
  </si>
  <si>
    <t>Confirmation pass 2026-09-12: no headcount published on the sustainability, about or facilities pages</t>
  </si>
  <si>
    <t>No BRSR filing found (private company, not required to file); no sustainability report on company site; not a CDP discloser.
1. Green Plantation
Focuses on green plantation drives around industrial premises to offset emissions.
2. Sustainable Fibers &amp; Packaging Materials
Integration of sustainable fiber sourcing and eco-friendly packaging materials within their production cycle.
3. Rooftop Sol</t>
  </si>
  <si>
    <t>Confirmation pass 2026-09-12: solar confirmed, source quality flagged</t>
  </si>
  <si>
    <t>25</t>
  </si>
  <si>
    <t>Confirmation pass 2026-09-12: the disclosed 25% is "our solar panel system provides 25% of our ELECTRICITY". This column is a share of total energy, which is not disclosed, so the energy share cannot be established.</t>
  </si>
  <si>
    <t>2059</t>
  </si>
  <si>
    <t>Confirmation pass 2026-09-12: no headcount published on sahuglobal.com</t>
  </si>
  <si>
    <t>As an unlisted private entity, Sahu Global Private Limited is not legally mandated by SEBI to file a public Business Responsibility and Sustainability Report (BRSR). However, the company voluntarily outlines its environmental and resource management metrics through corporate responsibility guidelines.
Renewable Energy: Operates on-site solar energy generation, fulfilling 25% of its total electric</t>
  </si>
  <si>
    <t>VERIFICATION 2026-09-12: confirmation pass completed - every figure either matched its primary source or was removed as unsourced, wrong-metric or group-level.</t>
  </si>
  <si>
    <t>172480</t>
  </si>
  <si>
    <t>Confirmation pass 2026-09-12: the BRSR states Scope 1 of 1,72,480 and Scope 2 of 36,78,500 "Metric tonnes of CO2 equivalent". Against the same filing's total energy of 290,550 GJ that is about 13,250 tCO2e/TJ - roughly 100x any real textile value. The source itself is mis-scaled (most likely kg reported as tonnes). Quoting it faithfully would put a visibly absurd number in front of H&amp;M.</t>
  </si>
  <si>
    <t>4951</t>
  </si>
  <si>
    <t>Confirmation pass 2026-09-12: 4,951 appears nowhere in the BRSR. Section A gives 610 employees (501 male / 109 female) and 4,648 workers.</t>
  </si>
  <si>
    <t>Confirmation pass 2026-09-12: BRSR figures confirmed; emissions withheld as source-erroneous</t>
  </si>
  <si>
    <t>48000</t>
  </si>
  <si>
    <t>Confirmation pass 2026-09-12: none of these figures could be located in either candidate entity's report, and the emissions block is impossible - 20.1 total for a 48,000-person petrochemical group. The 2.5% renewable is a TARGET ("+2.5 percentage points by 2025"), not an actual; the 0.11 MW solar is a single rooftop array at one subsidiary, not group capacity.</t>
  </si>
  <si>
    <t>15.81</t>
  </si>
  <si>
    <t>4.29</t>
  </si>
  <si>
    <t>20.1</t>
  </si>
  <si>
    <t>2.5</t>
  </si>
  <si>
    <t>0.11</t>
  </si>
  <si>
    <t>4320000</t>
  </si>
  <si>
    <t>600</t>
  </si>
  <si>
    <t>Evaluating / Non-committed</t>
  </si>
  <si>
    <t>Confirmation pass 2026-09-12: not on the SBTi register under either candidate entity</t>
  </si>
  <si>
    <t>Confirmation pass 2026-09-12: entity and India nexus both unresolved</t>
  </si>
  <si>
    <t>Confirmation pass 2026-09-12: India vs group scope made explicit</t>
  </si>
  <si>
    <t>14997</t>
  </si>
  <si>
    <t>Confirmation pass 2026-09-12: 14,997 was the India Scope 1 + Scope 2 sum, but the label invites comparison with the group figure of 32,010. Cleared to stop the two being conflated; the India components remain in their own columns.</t>
  </si>
  <si>
    <t>37</t>
  </si>
  <si>
    <t>Confirmation pass 2026-09-12: GROUP figure (Sri Lanka + India + Bangladesh), not India-specific. Same parent-figures-on-an-entity-row error as the subsidiary rows.</t>
  </si>
  <si>
    <t>460.87</t>
  </si>
  <si>
    <t>18.8</t>
  </si>
  <si>
    <t>1011098</t>
  </si>
  <si>
    <t>9633</t>
  </si>
  <si>
    <t>51000</t>
  </si>
  <si>
    <t>Confirmation pass 2026-09-12: 51,000 is not in the report. Group workforce is 46,185 plus 1,371 subcontractor staff, and it is group, not India.</t>
  </si>
  <si>
    <t>Confirmation pass 2026-09-12: confirmed on the register for Brandix Lanka Private Limited, published 06/03/2025. Genuine, but registered to the Sri Lankan entity.</t>
  </si>
  <si>
    <t>45</t>
  </si>
  <si>
    <t>Confirmation pass 2026-09-12: the page says "we are now saving 45% more non-renewable resources as compared to 2021 and 2020" - a claimed year-on-year reduction in non-renewable use, not a renewable share. The cited annual report contains no occurrence of "solar" or "renewable".</t>
  </si>
  <si>
    <t>1500</t>
  </si>
  <si>
    <t>Confirmation pass 2026-09-12: "over 1,500 workers" is an approximate undated claim, not a headcount</t>
  </si>
  <si>
    <t>No BRSR filing found (private company, not required to file); no sustainability report on company site; not a CDP discloser.
Energy Efficiency: Installed a 200 KW solar panel system (generating 143,431 kWh and saving 135 tons of CO2 in 2022), replaced 1,100 tube lights with energy-saving 18W LEDs, and swapped 100 constant-running clutch motors for efficient servo motors.
Water &amp; Waste Management</t>
  </si>
  <si>
    <t>Confirmation pass 2026-09-12: source scope recorded</t>
  </si>
  <si>
    <t>30</t>
  </si>
  <si>
    <t>Confirmation pass 2026-09-12: the disclosed 30% is scoped to one site - "solar power panels at our MAIN FACTORY meet 30% of our energy requirement". Recording it company-wide overstates coverage. The cited "Obeetee SA 8000 Disclosure" is not a document; SA 8000 appears only as a certification logo.</t>
  </si>
  <si>
    <t>10600</t>
  </si>
  <si>
    <t>Confirmation pass 2026-09-12: no headcount on the sustainability page; public figures are directory-grade and mutually inconsistent</t>
  </si>
  <si>
    <t xml:space="preserve">Strong, real, independently-verifiable SOCIAL certifications (GoodWeave/anti-child-labour, SA8000, Fairtrade, ILO recognition). But no ENVIRONMENTAL certifications (GOTS/ISO14001) or quantified emissions/water data found anywhere, including the company's own site, which only uses qualitative sustainability language.
Highlights a 90% reduction in water consumption/withdrawal achieved through water </t>
  </si>
  <si>
    <t>Confirmation pass 2026-09-12: single-site basis recorded</t>
  </si>
  <si>
    <t>2</t>
  </si>
  <si>
    <t>Confirmation pass 2026-09-12: the 2 MW plant is owned by a separate group-promoted LLP (a solar generation company near Karur, commissioned August 2022), not by Good Leather Company, and sits at a different site. The only site-level statement, "our leather factory generates 80KW of solar power daily", is internally incoherent - kW is capacity, "daily" implies energy - and cannot be used as either.</t>
  </si>
  <si>
    <t>2000</t>
  </si>
  <si>
    <t>Confirmation pass 2026-09-12: no headcount on the cited page</t>
  </si>
  <si>
    <t>Confirmation pass 2026-09-12: 2,000 KL came from "2 MLD ZLD ETP Plant with 92% recovery" - the effluent plant's DAILY TREATMENT CAPACITY (2,000 KL/day), not water withdrawal or consumption, and not an annual figure. No water figure is published by this company.</t>
  </si>
  <si>
    <t>4711</t>
  </si>
  <si>
    <t>Confirmation pass 2026-09-12: not published; no BRSR exists (unlisted). The NSE BRSR that surfaces belongs to Aarti Industries Ltd, an unrelated chemicals company.</t>
  </si>
  <si>
    <t>No BRSR filing found (private company, not required to file); no sustainability report on company site; not a CDP discloser.
1. Water Management &amp; Recycling
Zero Liquid Discharge (ZLD): Operates a fully functional 2 MLD (Million Liters per Day) ZLD ETP Plant, achieving a 92% to 95% water recovery rate.
Condensate Recovery: Collects MEE (Multiple Effect Evaporator) condensate water and reintroduc</t>
  </si>
  <si>
    <t>Confirmation pass 2026-09-12: solar derivation and a likely false-positive recorded</t>
  </si>
  <si>
    <t>1273</t>
  </si>
  <si>
    <t>Confirmation pass 2026-09-12: every figure on this row traced to CARE Ratings credit documents, which are not ESG disclosures. The company's own site discloses water recycling, ZLD and heat reuse but no solar and no renewable share. The recorded 17 MW does not even match the 18.27 MW in those credit documents, and the 60% is a share of POWER that CARE itself reports as ~80% in 2023 and ~60% in 2025.</t>
  </si>
  <si>
    <t>60</t>
  </si>
  <si>
    <t>17</t>
  </si>
  <si>
    <t>CARE Ratings
https://www.careratings.com/upload/CompanyFiles/PR/202304150414_Arthanari%20Loom%20Centre%20Textile%20Private%20Limited.pdf</t>
  </si>
  <si>
    <t>Confirmation pass 2026-09-12: replaced the CARE Ratings credit document with the company site, which is the only acceptable source available</t>
  </si>
  <si>
    <t>VERIFICATION 2026-09-12: confirmation pass completed - each figure matched its primary source or was removed as unsourced, wrong-metric, wrong-entity or wrong-scale.</t>
  </si>
  <si>
    <t>Confirmation pass 2026-09-12: the only 25 on the site is "installation of PNG plant to reduce up to 25% reliance on FOSSIL FUELS". Piped natural gas is a fossil fuel and this is a reduction target, not a renewable share. No renewable share is disclosed.</t>
  </si>
  <si>
    <t>4819</t>
  </si>
  <si>
    <t>Confirmation pass 2026-09-12: 4,819 is "Recycled RO Water - 4819 KL water recycled in 2022" - recycled volume for 2022, not total water consumption.</t>
  </si>
  <si>
    <t>1565</t>
  </si>
  <si>
    <t>Confirmation pass 2026-09-12: no headcount published</t>
  </si>
  <si>
    <t>CARE Ratings
https://alpineapparels.com/what-we-do/</t>
  </si>
  <si>
    <t>Confirmation pass 2026-09-12: citation named CARE Ratings (a credit document) with a URL pointing at /what-we-do/, which has no ESG content. The company ESG material is on /who-we-are/.</t>
  </si>
  <si>
    <t>The current sources lack audited ESG metrics. These firms are largely associated with private regional clusters whose detailed reports are not present. 
No BRSR filing found (private company, not required to file); no sustainability report on company site; not a CDP discloser.
At  Alpine Apparels, sustainability and ESG (Environmental, Social, and Governance) principles are integrated into manuf</t>
  </si>
  <si>
    <t>Confirmation pass 2026-09-12: what is actually disclosed, recorded accurately</t>
  </si>
  <si>
    <t>0.35</t>
  </si>
  <si>
    <t>Confirmation pass 2026-09-12: 0.35 MWp is numerically identical to the separately confirmed 350 kW at Gupta H.C. Overseas and appears nowhere in Neokraft sources. The cited sustainability page contains no figures at all and the cited CSR policy is Companies Act boilerplate. Confirmed copied cell.</t>
  </si>
  <si>
    <t>40</t>
  </si>
  <si>
    <t>Confirmation pass 2026-09-12: 40 is the computed midpoint of "expected to take care of 35 - 45% of our ELECTRICITY requirement". Three separate problems: a midpoint of a range, an electricity share not an energy share, and a projection not an actual.</t>
  </si>
  <si>
    <t>Confirmation pass 2026-09-12: the 1 MW rooftop unit is written as a forward plan ("install... with 1 MW of capacity, estimated investment $1.25 million"), not a disclosed operational capacity.</t>
  </si>
  <si>
    <t>505</t>
  </si>
  <si>
    <t>Confirmation pass 2026-09-12: 505 appears nowhere; the site states a "combined strength of over 2000+ people", which is a group figure</t>
  </si>
  <si>
    <t>Jain Cord Industries is a major participant in the PM MITRA Textile Park scheme, with a proposed investment of ₹2,515 crore in the Dhar (Madhya Pradesh) hub, signaling a significant expansion of its manufacturing capacity within an integrated textile ecosystem
No BRSR filing found (private company, not required to file); no sustainability report on company site; not a CDP discloser.
Renewable Ene</t>
  </si>
  <si>
    <t>Confirmation pass 2026-09-12: plans separated from actuals</t>
  </si>
  <si>
    <t>Net-Zero Target 2045</t>
  </si>
  <si>
    <t>Confirmation pass 2026-09-12: CRITICAL. The register shows SRG Apparels Ltd with near-term AND net-zero COMMITMENT REMOVED. "Net-Zero Target 2045" was the company's own roadmap graphic, not an SBTi position.</t>
  </si>
  <si>
    <t>11.3</t>
  </si>
  <si>
    <t>Confirmation pass 2026-09-12: 11.30 MW is stated as "captive green power" covering solar AND wind combined, not solar capacity. Solar alone is not disclosed in MW.</t>
  </si>
  <si>
    <t>Confirmation pass 2026-09-12: "we use 70% renewable energy (38% solar, 32% wind) and 30% grid power" is an unassured self-declared ELECTRICITY mix, not a disclosed share of total energy.</t>
  </si>
  <si>
    <t>Srg Apparels Pvt Ltd has set an aggressive sustainability roadmap, including targets for 100% renewable energy by 2026, Zero Waste to Landfill by 2030, and Net-Zero status by 2045. The company is currently digitizing its emissions data using GreenStitch to move away from manual reporting.
Google search indicates  GOTS certification, but no disclosure on the company website to confirm
No BRSR fil</t>
  </si>
  <si>
    <t>Confirmation pass 2026-09-12: claims recorded, SBTi position corrected</t>
  </si>
  <si>
    <t>50</t>
  </si>
  <si>
    <t>Confirmation pass 2026-09-12: no percentage is published anywhere. The homepage solar dashboard gives cumulative production (746 MWh total renewable produced) with no denominator, so a 50% share cannot be derived without inference.</t>
  </si>
  <si>
    <t>55</t>
  </si>
  <si>
    <t>Confirmation pass 2026-09-12: not published, and 55 is implausible against the stated footprint (3 tufting lines, 25 looms, 200,000 sq ft, 2,500 containers a year)</t>
  </si>
  <si>
    <t>Confirmation pass 2026-09-12: FY2024-25 was unsupported by any source</t>
  </si>
  <si>
    <t>No BRSR filing found (private company, not required to file); no sustainability report on company site; not a CDP discloser.
Energy &amp; Sustainability: Incorporates sustainable manufacturing practices, with nearly 50% of its energy requirements generated from renewable sources.
Water-Based Azo-Free Dyes:Refers to the non-toxic, eco-friendly water-based synthetic dyes used to print designs on their n</t>
  </si>
  <si>
    <t>Confirmation pass 2026-09-12: what exists, recorded accurately</t>
  </si>
  <si>
    <t>20</t>
  </si>
  <si>
    <t>Confirmation pass 2026-09-12: 20 is the SOLAR SUB-SHARE, not the renewable total. The company claims "we produce 100% of our power requirements through our own windmills and solar power plant", split roughly 80% wind / 20% solar. All are unassured claims about POWER, with no capacity, no MWh and no period.</t>
  </si>
  <si>
    <t>248</t>
  </si>
  <si>
    <t>No BRSR filing found (private company, not required to file); no sustainability report on company site; not a CDP discloser.
Power Generation &amp; Renewable Energy
100% Green Power: The company generates 100% of its power requirements through its own captive renewable energy plants.
Wind Power: 80% of their total power needs are met using their own windmills (located in regions like Tirupur and The</t>
  </si>
  <si>
    <t>Confirmation pass 2026-09-12: claim and entity uncertainty recorded</t>
  </si>
  <si>
    <t>431.07</t>
  </si>
  <si>
    <t>Confirmation pass 2026-09-12: FOUND - Sustainability Performance Report FY2025-26 (GRI Standards 2021), published April 2026. Scope 1+2 = 431.07 tCO2e (prior year 359.41).</t>
  </si>
  <si>
    <t>3.47722</t>
  </si>
  <si>
    <t>Confirmation pass 2026-09-12: FOUND - total energy 3,477.22 GJ (966.45 MWh) = 3.47722 TJ</t>
  </si>
  <si>
    <t>0.1</t>
  </si>
  <si>
    <t>Confirmation pass 2026-09-12: FOUND - 100 kW installed solar, generating 38.96 MWh (140.25 GJ)</t>
  </si>
  <si>
    <t>9426.24</t>
  </si>
  <si>
    <t>Confirmation pass 2026-09-12: FOUND - water withdrawal 9,426.24 KL (plus 373.56 KL recycled and 162 KL rainwater harvested)</t>
  </si>
  <si>
    <t>100.673</t>
  </si>
  <si>
    <t>Confirmation pass 2026-09-12: FOUND - waste generated 100.673 MT, recovery rate 73.55%</t>
  </si>
  <si>
    <t>Confirmation pass 2026-09-12: report covers FY2025-26</t>
  </si>
  <si>
    <t>Daks Sustainability
https://daksindia.com/sustainability-3</t>
  </si>
  <si>
    <t>Confirmation pass 2026-09-12: primary source located</t>
  </si>
  <si>
    <t>Though public profile highlights an aggressive 100% renewable energy target by 2025, but no confirmation disclosure found from company.
No BRSR filing found (private company, not required to file); no sustainability report on company site; not a CDP discloser
Renewable Energy &amp; Clean Operations100% Renewable Target: Aggressively transitioning facilities to run on 100% renewable energy.On-Site Sol</t>
  </si>
  <si>
    <t>Confirmation pass 2026-09-12: single-site boundary recorded with the figures</t>
  </si>
  <si>
    <t>Confirmation pass 2026-09-12: FOUND on the register - SBTi ID 40029481, both commitments active, published 30/04/2026. No validated targets yet, so this is Committed, not Targets set.</t>
  </si>
  <si>
    <t>Related Listed Entity — Nandan Denim Limited
No BRSR filing found (private company, not required to file); no sustainability report on company site; not a CDP discloser.
Solar Infrastructure &amp; Manufacturing: Grew Energy features state-of-the-art manufacturing facilities with expertise in producing high-quality PV modules and cells, supporting India's broader renewable energy and solar objectives</t>
  </si>
  <si>
    <t>Confirmation pass 2026-09-12: SBTi commitment and the sibling-entity trap recorded</t>
  </si>
  <si>
    <t>Listed company but small-cap — likely below the ~top-1,000-by-market-cap threshold that makes BRSR mandatory in India, which is why no filing was found despite being publicly traded. This is a useful distinction for the researcher/tech head: 'listed' alone does not guarantee a BRSR exists, only sufficient market cap does. No environmental certifications or quantified emissions/energy/water figures</t>
  </si>
  <si>
    <t>Confirmation pass 2026-09-12: LWG registry disclosure recorded with its correct scope</t>
  </si>
  <si>
    <t>Confirmation pass 2026-09-12: group disclosure recorded, deliberately not entered as entity data</t>
  </si>
  <si>
    <t>No specific sustainability reports found in current sources.No BRSR filing found (private company, not required to file); no sustainability report on company site; not a CDP discloser
The Jawandsons Group uses a proprietary technological and data-monitoring tool called ESG Compass to manage its sustainability initiatives.
Scope: Covers performance data collection across all group business entit</t>
  </si>
  <si>
    <t>Confirmation pass 2026-09-12: copied-content trap recorded</t>
  </si>
  <si>
    <t>VERIFICATION 2026-09-12: checked against primary sources. Figures match source, were corrected, or read Not Disclosed because no acceptable source publishes them.</t>
  </si>
  <si>
    <t>Confirmation pass 2026-09-12: registry disclosure located - this row previously read as having nothing</t>
  </si>
  <si>
    <t>Lack audited ESG metrics in current sources.No BRSR filing found (private company, not required to file); no sustainability report on company site; not a CDP discloser.</t>
  </si>
  <si>
    <t>Lack audited ESG metrics in current sources.No BRSR filing found (private company, not required to file); no sustainability report on company site; not a CDP discloser.
Leather Working Group certified, rating SILVER (URN VAS002), audit expiry 11 Aug 2028, protocol 7.2.5. Traceability: documented 53.81%, regional 40.23%, not traceable 5.96%, physical 0%, group 0%. A second site (VAS101, B Tannery)</t>
  </si>
  <si>
    <t>Likely associated with a regional leather cluster; no verified water stewardship (KL) or waste management (MT) figures are present in the current dataset.  No BRSR filing found (private company, not required to file); no sustainability report on company site; not a CDP discloser.
Nivin Leathers is a certified Gold-rated leather manufacturer and tannery located in Chennai, India</t>
  </si>
  <si>
    <t>Likely associated with a regional leather cluster; no verified water stewardship (KL) or waste management (MT) figures are present in the current dataset.  No BRSR filing found (private company, not required to file); no sustainability report on company site; not a CDP discloser.
Nivin Leathers is a certified Gold-rated leather manufacturer and tannery located in Chennai, India
Leather Working G</t>
  </si>
  <si>
    <t>No sustainability disclosure found; company registration confirmed via LWG website.
Lack audited ESG metrics in current sources. No BRSR filing found (private company, not required to file); no sustainability report on company site; not a CDP discloser.</t>
  </si>
  <si>
    <t>No sustainability disclosure found; company registration confirmed via LWG website.
Lack audited ESG metrics in current sources. No BRSR filing found (private company, not required to file); no sustainability report on company site; not a CDP discloser.
Leather Working Group certified, rating GOLD at the A-Tannery site (URN FOR004, Kanchipuram), audit expiry 30 Jul 2026, protocol 7.2.4. Traceabil</t>
  </si>
  <si>
    <t>No sustainability disclosure found; company registration confirmed via Traxcn. No BRSR filing found (private company, not required to file); no sustainability report on company site; not a CDP discloser.
Search record: No sustainability disclosure found; company registration confirmed via Company website.
Leather Working Group registry entry exists (URN SAR101) but its status is EXPIRED - no cur</t>
  </si>
  <si>
    <t>No specific sustainability reports or regulatory filings are available to extract Scope 1/2 emissions or resource consumption data. No BRSR filing found (private company, not required to file); no sustainability report on company site; not a CDP discloser.
1. Regulatory &amp; Ethical Compliance
Global Audits and Standards: Leading production houses adhere to rigorous international compliance benchmar</t>
  </si>
  <si>
    <t>As a listed entity (NSE/BSE), Precot is likely subject to mandatory BRSR filings in India. But not accessable freely. Hence the data is noted from company's sustaiability portal.
Precot Sustainability Practices Overview
Precot's sustainability framework is built upon three core pillars: Raw Material Sourcing, Green Energy, and Waste Management.
Detailed Scope 1, 2, and 3 Emissions: Specific quan</t>
  </si>
  <si>
    <t>Formally listed in the global SBTi registry as committed to obtaining Net-Zero certification.
No BRSR filing found (private company, not required to file); no sustainability report on company site; not a CDP discloser
Designco focuses its sustainability initiatives and community engagement around several key programs, as outlined in their corporate structure:
Saamarthya: A focused initiative di</t>
  </si>
  <si>
    <t>Confirmation pass 2026-09-12: validated on the SBTi register, published 02/04/2026, SME route</t>
  </si>
  <si>
    <t>No BRSR filing found (private company, not required to file); no sustainability report on company site; not a CDP discloser.
Minimal public ESG reporting; functions as an industrial processing unit.
Google search denotes CDP engagement but no disclosure via company website. Hence unable to confirm.
Sustainability Infrastructure &amp; Initiatives
Zero Liquid Discharge (ZLD) Facility: Operates an efflue</t>
  </si>
  <si>
    <t>Confirmation pass 2026-09-12: name-collision risk recorded on the row itself</t>
  </si>
  <si>
    <t>No BRSR filing found (private company, not required to file); no sustainability report on company site; not a CDP discloser.
Core Policy &amp; Framework
Integrated Policy: Combines environmental management, quality assurance, safety, and occupational health (continuous improvement model).
Scope: Covers environmental and social responsibility across the complete footwear manufacturing cycle in Portug</t>
  </si>
  <si>
    <t>Confirmation pass 2026-09-12: country misfile recorded</t>
  </si>
  <si>
    <t>No BRSR filing found (private company, not required to file); no sustainability report on company site; not a CDP discloser.
Environmental Protection &amp; Sustainability Initiatives
Footprint Reduction: Implemented internal sustainability policies and initiatives aimed at minimizing the company's overall environmental impact.
Eco-Friendly Practices: Focuses on resource efficiency through waste redu</t>
  </si>
  <si>
    <t>Confirmation pass 2026-09-12: entity or source-quality note recorded</t>
  </si>
  <si>
    <t>A private limited apparel manufacturer for which no public BRSR or audited environmental data has been imported into the current project. No BRSR filing found (private company, not required to file); no sustainability report on company site; not a CDP discloser.</t>
  </si>
  <si>
    <t>No sustainability disclosure found; company registration confirmed via Tracxn.
No BRSR filing found (private company, not required to file); no sustainability report on company site; not a CDP discloser.
Corporate Sustainability &amp; Environmental CareClean Energy: Utilization of clean energy generated via high-efficiency photovoltaic systems.Resource &amp; Emission Monitoring: Continuous tracking of CO</t>
  </si>
  <si>
    <t>No BRSR filing found (private company, not required to file); no sustainability report on company site; not a CDP discloser.
The provided sources lack specific audited metrics or corporate profiles. These private firms are largely associated with regional clusters whose detailed reports have not yet been imported into the current dataset.</t>
  </si>
  <si>
    <t>No BRSR filing found (private company, not required to file); no sustainability report on company site; not a CDP discloser.
The provided sources lack specific audited metrics or corporate profiles. These private firms are largely associated with regional clusters whose detailed reports have not yet been imported into the current dataset.
Spelled both Viswas and Vishwas; "Azure" is a trading name</t>
  </si>
  <si>
    <t>The current sources lack audited ESG metrics. These firms are largely associated with private regional clusters whose detailed reports are not present. No BRSR filing found (private company, not required to file); no sustainability report on company site; not a CDP discloser.
Sustainable Raw Materials: Explicitly sources certified eco-friendly fibers, including Better Cotton Initiative (BCI) cott</t>
  </si>
  <si>
    <t>VERIFICATION 2026-09-12: checked against primary sources and official registries (SBTi, LWG, Ecocert, GOTS, CDP). Figures match source, were corrected, or read Not Disclosed because no acceptable source publishes them.</t>
  </si>
  <si>
    <t>(anomaly flagged, cause unknown)</t>
  </si>
  <si>
    <t>(root cause established - unit carried forward from "Gco2/Littre")</t>
  </si>
  <si>
    <t>Root-cause investigation 2026-09-13: traced the anomaly to a unit label that changed between BRSR filings while the numbers did not.</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</si>
</sst>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yyyy-mm-dd"/>
    <numFmt numFmtId="165" formatCode="0.0"/>
    <numFmt numFmtId="166" formatCode="0.0%"/>
  </numFmts>
  <fonts count="38">
    <font>
      <sz val="11.0"/>
      <color theme="1"/>
      <name val="Calibri"/>
      <scheme val="minor"/>
    </font>
    <font>
      <b/>
      <sz val="9.0"/>
      <color rgb="FFFFFFFF"/>
      <name val="Arial"/>
    </font>
    <font>
      <b/>
      <sz val="10.0"/>
      <color rgb="FFFFFFFF"/>
      <name val="Arial"/>
    </font>
    <font>
      <b/>
      <sz val="16.0"/>
      <color rgb="FF1F4E3D"/>
      <name val="Arial"/>
    </font>
    <font>
      <sz val="11.0"/>
      <color theme="1"/>
      <name val="Calibri"/>
    </font>
    <font>
      <b/>
      <sz val="9.0"/>
      <color rgb="FF7F6000"/>
      <name val="Arial"/>
    </font>
    <font>
      <sz val="9.0"/>
      <color theme="1"/>
      <name val="Arial"/>
    </font>
    <font>
      <b/>
      <sz val="12.0"/>
      <color rgb="FF000000"/>
      <name val="Arial"/>
    </font>
    <font>
      <sz val="11.0"/>
      <color rgb="FF000000"/>
      <name val="Arial"/>
    </font>
    <font>
      <b/>
      <sz val="9.0"/>
      <color rgb="FF1F4E3D"/>
      <name val="Arial"/>
    </font>
    <font>
      <sz val="9.0"/>
      <color rgb="FF303030"/>
      <name val="Arial"/>
    </font>
    <font>
      <i/>
      <sz val="9.0"/>
      <color theme="1"/>
      <name val="Arial"/>
    </font>
    <font>
      <sz val="9.0"/>
      <color rgb="FF303030"/>
      <name val="Google Sans"/>
    </font>
    <font>
      <color theme="1"/>
      <name val="Calibri"/>
      <scheme val="minor"/>
    </font>
    <font>
      <u/>
      <sz val="9.0"/>
      <color rgb="FF303030"/>
      <name val="Arial"/>
    </font>
    <font>
      <sz val="9.0"/>
      <color rgb="FF000000"/>
      <name val="Arial"/>
    </font>
    <font>
      <sz val="9.0"/>
      <color rgb="FF666666"/>
      <name val="Arial"/>
    </font>
    <font>
      <u/>
      <sz val="9.0"/>
      <color rgb="FF000000"/>
      <name val="Arial"/>
    </font>
    <font>
      <u/>
      <sz val="9.0"/>
      <color rgb="FF000000"/>
      <name val="Arial"/>
    </font>
    <font>
      <color theme="1"/>
      <name val="Calibri"/>
    </font>
    <font>
      <sz val="9.0"/>
      <color theme="1"/>
      <name val="Calibri"/>
    </font>
    <font>
      <u/>
      <sz val="9.0"/>
      <color rgb="FF000000"/>
      <name val="Arial"/>
    </font>
    <font>
      <u/>
      <sz val="9.0"/>
      <color rgb="FF303030"/>
      <name val="Arial"/>
    </font>
    <font>
      <u/>
      <sz val="9.0"/>
      <color rgb="FF1F1F1F"/>
      <name val="Arial"/>
    </font>
    <font>
      <u/>
      <sz val="9.0"/>
      <color rgb="FF0000FF"/>
      <name val="Arial"/>
    </font>
    <font>
      <u/>
      <sz val="9.0"/>
      <color rgb="FF303030"/>
      <name val="Arial"/>
    </font>
    <font>
      <u/>
      <sz val="9.0"/>
      <color rgb="FF1155CC"/>
      <name val="Arial"/>
    </font>
    <font>
      <u/>
      <sz val="9.0"/>
      <color rgb="FF303030"/>
      <name val="Arial"/>
    </font>
    <font>
      <u/>
      <sz val="9.0"/>
      <color rgb="FF000000"/>
      <name val="Arial"/>
    </font>
    <font>
      <u/>
      <sz val="9.0"/>
      <color rgb="FF0000FF"/>
      <name val="Arial"/>
    </font>
    <font>
      <b/>
      <sz val="14.0"/>
      <color rgb="FF1F4E3D"/>
      <name val="Arial"/>
    </font>
    <font>
      <sz val="11.0"/>
      <color theme="1"/>
      <name val="Arial"/>
    </font>
    <font>
      <b/>
      <sz val="11.0"/>
      <color rgb="FF1F4E3D"/>
      <name val="Arial"/>
    </font>
    <font>
      <b/>
      <sz val="11.0"/>
      <color theme="1"/>
      <name val="Arial"/>
    </font>
    <font>
      <b/>
      <sz val="12.0"/>
      <color theme="1"/>
      <name val="Arial"/>
    </font>
    <font>
      <sz val="10.0"/>
      <color theme="1"/>
      <name val="Arial"/>
    </font>
    <font>
      <i/>
      <sz val="9.0"/>
      <color rgb="FF666666"/>
      <name val="Arial"/>
    </font>
    <font>
      <b/>
      <color theme="1"/>
      <name val="Calibri"/>
      <scheme val="minor"/>
    </font>
  </fonts>
  <fills count="11">
    <fill>
      <patternFill patternType="none"/>
    </fill>
    <fill>
      <patternFill patternType="lightGray"/>
    </fill>
    <fill>
      <patternFill patternType="solid">
        <fgColor rgb="FF1F4E3D"/>
        <bgColor rgb="FF1F4E3D"/>
      </patternFill>
    </fill>
    <fill>
      <patternFill patternType="solid">
        <fgColor rgb="FFFFF6CC"/>
        <bgColor rgb="FFFFF6CC"/>
      </patternFill>
    </fill>
    <fill>
      <patternFill patternType="solid">
        <fgColor rgb="FFFCE5CD"/>
        <bgColor rgb="FFFCE5CD"/>
      </patternFill>
    </fill>
    <fill>
      <patternFill patternType="solid">
        <fgColor rgb="FFC6EFCE"/>
        <bgColor rgb="FFC6EFCE"/>
      </patternFill>
    </fill>
    <fill>
      <patternFill patternType="solid">
        <fgColor rgb="FFE2F0D9"/>
        <bgColor rgb="FFE2F0D9"/>
      </patternFill>
    </fill>
    <fill>
      <patternFill patternType="solid">
        <fgColor rgb="FFFFFF00"/>
        <bgColor rgb="FFFFFF00"/>
      </patternFill>
    </fill>
    <fill>
      <patternFill patternType="solid">
        <fgColor rgb="FFD9D9D9"/>
        <bgColor rgb="FFD9D9D9"/>
      </patternFill>
    </fill>
    <fill>
      <patternFill patternType="solid">
        <fgColor rgb="FFFFFFFF"/>
        <bgColor rgb="FFFFFFFF"/>
      </patternFill>
    </fill>
    <fill>
      <patternFill patternType="solid">
        <fgColor rgb="FFFF9900"/>
        <bgColor rgb="FFFF9900"/>
      </patternFill>
    </fill>
  </fills>
  <borders count="4">
    <border/>
    <border>
      <left style="thin">
        <color rgb="FF000000"/>
      </left>
      <right style="thin">
        <color rgb="FF000000"/>
      </right>
      <top style="thin">
        <color rgb="FF000000"/>
      </top>
      <bottom style="thin">
        <color rgb="FF000000"/>
      </bottom>
    </border>
    <border>
      <left/>
      <right/>
      <top/>
      <bottom/>
    </border>
    <border>
      <left style="thin">
        <color rgb="FFB7B7B7"/>
      </left>
      <right style="thin">
        <color rgb="FFB7B7B7"/>
      </right>
      <top style="thin">
        <color rgb="FFB7B7B7"/>
      </top>
      <bottom style="thin">
        <color rgb="FFB7B7B7"/>
      </bottom>
    </border>
  </borders>
  <cellStyleXfs count="1">
    <xf borderId="0" fillId="0" fontId="0" numFmtId="0" applyAlignment="1" applyFont="1"/>
  </cellStyleXfs>
  <cellXfs count="133">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top" wrapText="1"/>
    </xf>
    <xf borderId="2" fillId="2" fontId="2" numFmtId="0" xfId="0" applyAlignment="1" applyBorder="1" applyFill="1" applyFont="1">
      <alignment shrinkToFit="0" vertical="top" wrapText="1"/>
    </xf>
    <xf borderId="0" fillId="0" fontId="3" numFmtId="0" xfId="0" applyAlignment="1" applyFont="1">
      <alignment shrinkToFit="0" vertical="top" wrapText="1"/>
    </xf>
    <xf borderId="3" fillId="2" fontId="2" numFmtId="0" xfId="0" applyAlignment="1" applyBorder="1" applyFill="1" applyFont="1">
      <alignment horizontal="center" shrinkToFit="0" vertical="top" wrapText="1"/>
    </xf>
    <xf borderId="0" fillId="0" fontId="4" numFmtId="0" xfId="0" applyFont="1"/>
    <xf borderId="1" fillId="3" fontId="5" numFmtId="0" xfId="0" applyAlignment="1" applyBorder="1" applyFill="1" applyFont="1">
      <alignment horizontal="center" shrinkToFit="0" vertical="top" wrapText="1"/>
    </xf>
    <xf borderId="3" fillId="0" fontId="6" numFmtId="0" xfId="0" applyAlignment="1" applyBorder="1" applyFont="1">
      <alignment shrinkToFit="0" vertical="top" wrapText="1"/>
    </xf>
    <xf borderId="3" fillId="4" fontId="6" numFmtId="0" xfId="0" applyAlignment="1" applyBorder="1" applyFill="1" applyFont="1">
      <alignment shrinkToFit="0" vertical="top" wrapText="1"/>
    </xf>
    <xf borderId="0" fillId="0" fontId="7" numFmtId="0" xfId="0" applyAlignment="1" applyFont="1">
      <alignment shrinkToFit="0" vertical="top" wrapText="1"/>
    </xf>
    <xf borderId="0" fillId="0" fontId="8" numFmtId="0" xfId="0" applyAlignment="1" applyFont="1">
      <alignment shrinkToFit="0" vertical="top" wrapText="1"/>
    </xf>
    <xf borderId="3" fillId="0" fontId="9" numFmtId="0" xfId="0" applyAlignment="1" applyBorder="1" applyFont="1">
      <alignment shrinkToFit="0" vertical="top" wrapText="1"/>
    </xf>
    <xf borderId="1" fillId="5" fontId="6" numFmtId="0" xfId="0" applyAlignment="1" applyBorder="1" applyFill="1" applyFont="1">
      <alignment vertical="top"/>
    </xf>
    <xf borderId="1" fillId="5" fontId="6" numFmtId="0" xfId="0" applyAlignment="1" applyBorder="1" applyFill="1" applyFont="1">
      <alignment shrinkToFit="0" vertical="top" wrapText="1"/>
    </xf>
    <xf borderId="1" fillId="5" fontId="10" numFmtId="0" xfId="0" applyAlignment="1" applyBorder="1" applyFill="1" applyFont="1">
      <alignment horizontal="left" vertical="top"/>
    </xf>
    <xf borderId="1" fillId="5" fontId="10" numFmtId="0" xfId="0" applyAlignment="1" applyBorder="1" applyFill="1" applyFont="1">
      <alignment horizontal="right" vertical="top"/>
    </xf>
    <xf borderId="3" fillId="0" fontId="11" numFmtId="0" xfId="0" applyAlignment="1" applyBorder="1" applyFont="1">
      <alignment vertical="bottom"/>
    </xf>
    <xf borderId="1" fillId="5" fontId="10" numFmtId="0" xfId="0" applyAlignment="1" applyBorder="1" applyFill="1" applyFont="1">
      <alignment horizontal="center" vertical="top"/>
    </xf>
    <xf borderId="1" fillId="5" fontId="12" numFmtId="0" xfId="0" applyAlignment="1" applyBorder="1" applyFill="1" applyFont="1">
      <alignment horizontal="center" vertical="top"/>
    </xf>
    <xf borderId="2" fillId="6" fontId="8" numFmtId="0" xfId="0" applyAlignment="1" applyBorder="1" applyFill="1" applyFont="1">
      <alignment shrinkToFit="0" vertical="top" wrapText="1"/>
    </xf>
    <xf borderId="2" fillId="3" fontId="8" numFmtId="0" xfId="0" applyAlignment="1" applyBorder="1" applyFill="1" applyFont="1">
      <alignment shrinkToFit="0" vertical="top" wrapText="1"/>
    </xf>
    <xf borderId="0" fillId="0" fontId="13" numFmtId="0" xfId="0" applyFont="1"/>
    <xf borderId="1" fillId="5" fontId="14" numFmtId="0" xfId="0" applyAlignment="1" applyBorder="1" applyFill="1" applyFont="1">
      <alignment horizontal="left" vertical="top"/>
    </xf>
    <xf borderId="1" fillId="5" fontId="10" numFmtId="164" xfId="0" applyAlignment="1" applyBorder="1" applyFill="1" applyFont="1" applyNumberFormat="1">
      <alignment horizontal="left" vertical="top"/>
    </xf>
    <xf borderId="1" fillId="5" fontId="9" numFmtId="0" xfId="0" applyAlignment="1" applyBorder="1" applyFill="1" applyFont="1">
      <alignment horizontal="left" shrinkToFit="0" vertical="top" wrapText="1"/>
    </xf>
    <xf borderId="1" fillId="5" fontId="15" numFmtId="0" xfId="0" applyAlignment="1" applyBorder="1" applyFill="1" applyFont="1">
      <alignment horizontal="left" shrinkToFit="0" vertical="top" wrapText="1"/>
    </xf>
    <xf borderId="1" fillId="6" fontId="6" numFmtId="0" xfId="0" applyAlignment="1" applyBorder="1" applyFill="1" applyFont="1">
      <alignment vertical="top"/>
    </xf>
    <xf borderId="1" fillId="6" fontId="6" numFmtId="0" xfId="0" applyAlignment="1" applyBorder="1" applyFill="1" applyFont="1">
      <alignment shrinkToFit="0" vertical="top" wrapText="1"/>
    </xf>
    <xf borderId="1" fillId="6" fontId="15" numFmtId="0" xfId="0" applyAlignment="1" applyBorder="1" applyFill="1" applyFont="1">
      <alignment horizontal="left" shrinkToFit="0" vertical="top" wrapText="1"/>
    </xf>
    <xf borderId="1" fillId="6" fontId="15" numFmtId="0" xfId="0" applyAlignment="1" applyBorder="1" applyFill="1" applyFont="1">
      <alignment horizontal="right" shrinkToFit="0" vertical="top" wrapText="1"/>
    </xf>
    <xf borderId="1" fillId="6" fontId="15" numFmtId="0" xfId="0" applyAlignment="1" applyBorder="1" applyFill="1" applyFont="1">
      <alignment horizontal="center" shrinkToFit="0" vertical="top" wrapText="1"/>
    </xf>
    <xf borderId="1" fillId="6" fontId="6" numFmtId="164" xfId="0" applyAlignment="1" applyBorder="1" applyFill="1" applyFont="1" applyNumberFormat="1">
      <alignment horizontal="left" vertical="top"/>
    </xf>
    <xf borderId="1" fillId="6" fontId="9" numFmtId="0" xfId="0" applyAlignment="1" applyBorder="1" applyFill="1" applyFont="1">
      <alignment horizontal="left" shrinkToFit="0" vertical="top" wrapText="1"/>
    </xf>
    <xf borderId="1" fillId="5" fontId="15" numFmtId="0" xfId="0" applyAlignment="1" applyBorder="1" applyFill="1" applyFont="1">
      <alignment horizontal="right" shrinkToFit="0" vertical="top" wrapText="1"/>
    </xf>
    <xf borderId="1" fillId="5" fontId="15" numFmtId="0" xfId="0" applyAlignment="1" applyBorder="1" applyFill="1" applyFont="1">
      <alignment horizontal="center" shrinkToFit="0" vertical="top" wrapText="1"/>
    </xf>
    <xf borderId="0" fillId="0" fontId="16" numFmtId="0" xfId="0" applyAlignment="1" applyFont="1">
      <alignment shrinkToFit="0" vertical="top" wrapText="1"/>
    </xf>
    <xf borderId="1" fillId="5" fontId="17" numFmtId="0" xfId="0" applyAlignment="1" applyBorder="1" applyFill="1" applyFont="1">
      <alignment horizontal="left" shrinkToFit="0" vertical="top" wrapText="1"/>
    </xf>
    <xf borderId="1" fillId="5" fontId="15" numFmtId="164" xfId="0" applyAlignment="1" applyBorder="1" applyFill="1" applyFont="1" applyNumberFormat="1">
      <alignment horizontal="left" shrinkToFit="0" vertical="top" wrapText="1"/>
    </xf>
    <xf borderId="3" fillId="7" fontId="6" numFmtId="0" xfId="0" applyAlignment="1" applyBorder="1" applyFill="1" applyFont="1">
      <alignment shrinkToFit="0" vertical="top" wrapText="1"/>
    </xf>
    <xf borderId="3" fillId="7" fontId="9" numFmtId="0" xfId="0" applyAlignment="1" applyBorder="1" applyFill="1" applyFont="1">
      <alignment shrinkToFit="0" vertical="top" wrapText="1"/>
    </xf>
    <xf borderId="1" fillId="0" fontId="6" numFmtId="0" xfId="0" applyAlignment="1" applyBorder="1" applyFont="1">
      <alignment vertical="top"/>
    </xf>
    <xf borderId="1" fillId="8" fontId="6" numFmtId="0" xfId="0" applyAlignment="1" applyBorder="1" applyFill="1" applyFont="1">
      <alignment shrinkToFit="0" vertical="top" wrapText="1"/>
    </xf>
    <xf borderId="1" fillId="0" fontId="6" numFmtId="0" xfId="0" applyAlignment="1" applyBorder="1" applyFont="1">
      <alignment shrinkToFit="0" vertical="top" wrapText="1"/>
    </xf>
    <xf borderId="1" fillId="0" fontId="15" numFmtId="0" xfId="0" applyAlignment="1" applyBorder="1" applyFont="1">
      <alignment horizontal="left" shrinkToFit="0" vertical="top" wrapText="1"/>
    </xf>
    <xf borderId="1" fillId="0" fontId="15" numFmtId="0" xfId="0" applyAlignment="1" applyBorder="1" applyFont="1">
      <alignment horizontal="right" shrinkToFit="0" vertical="top" wrapText="1"/>
    </xf>
    <xf borderId="1" fillId="9" fontId="10" numFmtId="0" xfId="0" applyAlignment="1" applyBorder="1" applyFill="1" applyFont="1">
      <alignment horizontal="left" vertical="top"/>
    </xf>
    <xf borderId="1" fillId="0" fontId="15" numFmtId="0" xfId="0" applyAlignment="1" applyBorder="1" applyFont="1">
      <alignment horizontal="center" shrinkToFit="0" vertical="top" wrapText="1"/>
    </xf>
    <xf borderId="1" fillId="0" fontId="18" numFmtId="0" xfId="0" applyAlignment="1" applyBorder="1" applyFont="1">
      <alignment horizontal="left" shrinkToFit="0" vertical="top" wrapText="1"/>
    </xf>
    <xf borderId="1" fillId="0" fontId="15" numFmtId="164" xfId="0" applyAlignment="1" applyBorder="1" applyFont="1" applyNumberFormat="1">
      <alignment horizontal="left" shrinkToFit="0" vertical="top" wrapText="1"/>
    </xf>
    <xf borderId="1" fillId="0" fontId="9" numFmtId="0" xfId="0" applyAlignment="1" applyBorder="1" applyFont="1">
      <alignment horizontal="left" shrinkToFit="0" vertical="top" wrapText="1"/>
    </xf>
    <xf borderId="1" fillId="5" fontId="15" numFmtId="3" xfId="0" applyAlignment="1" applyBorder="1" applyFill="1" applyFont="1" applyNumberFormat="1">
      <alignment horizontal="right" shrinkToFit="0" vertical="top" wrapText="1"/>
    </xf>
    <xf borderId="0" fillId="5" fontId="19" numFmtId="0" xfId="0" applyAlignment="1" applyFill="1" applyFont="1">
      <alignment horizontal="left" vertical="top"/>
    </xf>
    <xf borderId="1" fillId="5" fontId="15" numFmtId="4" xfId="0" applyAlignment="1" applyBorder="1" applyFill="1" applyFont="1" applyNumberFormat="1">
      <alignment horizontal="right" shrinkToFit="0" vertical="top" wrapText="1"/>
    </xf>
    <xf borderId="1" fillId="5" fontId="10" numFmtId="3" xfId="0" applyAlignment="1" applyBorder="1" applyFill="1" applyFont="1" applyNumberFormat="1">
      <alignment horizontal="right" vertical="top"/>
    </xf>
    <xf borderId="1" fillId="5" fontId="20" numFmtId="3" xfId="0" applyAlignment="1" applyBorder="1" applyFill="1" applyFont="1" applyNumberFormat="1">
      <alignment horizontal="right" vertical="top"/>
    </xf>
    <xf borderId="1" fillId="0" fontId="10" numFmtId="164" xfId="0" applyAlignment="1" applyBorder="1" applyFont="1" applyNumberFormat="1">
      <alignment horizontal="left" vertical="top"/>
    </xf>
    <xf borderId="1" fillId="0" fontId="15" numFmtId="3" xfId="0" applyAlignment="1" applyBorder="1" applyFont="1" applyNumberFormat="1">
      <alignment horizontal="right" shrinkToFit="0" vertical="top" wrapText="1"/>
    </xf>
    <xf borderId="1" fillId="0" fontId="15" numFmtId="4" xfId="0" applyAlignment="1" applyBorder="1" applyFont="1" applyNumberFormat="1">
      <alignment horizontal="right" shrinkToFit="0" vertical="top" wrapText="1"/>
    </xf>
    <xf borderId="0" fillId="0" fontId="19" numFmtId="0" xfId="0" applyAlignment="1" applyFont="1">
      <alignment horizontal="right" vertical="top"/>
    </xf>
    <xf borderId="1" fillId="9" fontId="10" numFmtId="0" xfId="0" applyAlignment="1" applyBorder="1" applyFill="1" applyFont="1">
      <alignment horizontal="left" shrinkToFit="0" vertical="top" wrapText="1"/>
    </xf>
    <xf borderId="1" fillId="9" fontId="10" numFmtId="0" xfId="0" applyAlignment="1" applyBorder="1" applyFill="1" applyFont="1">
      <alignment horizontal="right" vertical="top"/>
    </xf>
    <xf borderId="1" fillId="9" fontId="10" numFmtId="3" xfId="0" applyAlignment="1" applyBorder="1" applyFill="1" applyFont="1" applyNumberFormat="1">
      <alignment horizontal="right" vertical="top"/>
    </xf>
    <xf borderId="1" fillId="0" fontId="10" numFmtId="0" xfId="0" applyAlignment="1" applyBorder="1" applyFont="1">
      <alignment horizontal="center" vertical="top"/>
    </xf>
    <xf borderId="1" fillId="9" fontId="10" numFmtId="0" xfId="0" applyAlignment="1" applyBorder="1" applyFill="1" applyFont="1">
      <alignment horizontal="center" vertical="top"/>
    </xf>
    <xf borderId="1" fillId="0" fontId="12" numFmtId="0" xfId="0" applyAlignment="1" applyBorder="1" applyFont="1">
      <alignment horizontal="center" vertical="top"/>
    </xf>
    <xf borderId="1" fillId="10" fontId="21" numFmtId="0" xfId="0" applyAlignment="1" applyBorder="1" applyFill="1" applyFont="1">
      <alignment horizontal="left" shrinkToFit="0" vertical="top" wrapText="1"/>
    </xf>
    <xf borderId="0" fillId="5" fontId="19" numFmtId="0" xfId="0" applyAlignment="1" applyFill="1" applyFont="1">
      <alignment horizontal="right" vertical="top"/>
    </xf>
    <xf borderId="1" fillId="5" fontId="15" numFmtId="165" xfId="0" applyAlignment="1" applyBorder="1" applyFill="1" applyFont="1" applyNumberFormat="1">
      <alignment horizontal="right" shrinkToFit="0" vertical="top" wrapText="1"/>
    </xf>
    <xf borderId="1" fillId="5" fontId="22" numFmtId="0" xfId="0" applyAlignment="1" applyBorder="1" applyFill="1" applyFont="1">
      <alignment horizontal="left" shrinkToFit="0" vertical="top" wrapText="1"/>
    </xf>
    <xf borderId="1" fillId="5" fontId="10" numFmtId="0" xfId="0" applyAlignment="1" applyBorder="1" applyFill="1" applyFont="1">
      <alignment horizontal="left" shrinkToFit="0" vertical="top" wrapText="1"/>
    </xf>
    <xf borderId="1" fillId="5" fontId="15" numFmtId="9" xfId="0" applyAlignment="1" applyBorder="1" applyFill="1" applyFont="1" applyNumberFormat="1">
      <alignment horizontal="left" shrinkToFit="0" vertical="top" wrapText="1"/>
    </xf>
    <xf borderId="1" fillId="5" fontId="23" numFmtId="0" xfId="0" applyAlignment="1" applyBorder="1" applyFill="1" applyFont="1">
      <alignment horizontal="left" shrinkToFit="0" vertical="top" wrapText="1"/>
    </xf>
    <xf borderId="1" fillId="5" fontId="24" numFmtId="0" xfId="0" applyAlignment="1" applyBorder="1" applyFill="1" applyFont="1">
      <alignment horizontal="left" shrinkToFit="0" vertical="top" wrapText="1"/>
    </xf>
    <xf borderId="1" fillId="6" fontId="15" numFmtId="0" xfId="0" applyAlignment="1" applyBorder="1" applyFill="1" applyFont="1">
      <alignment horizontal="left" vertical="top"/>
    </xf>
    <xf borderId="1" fillId="6" fontId="15" numFmtId="0" xfId="0" applyAlignment="1" applyBorder="1" applyFill="1" applyFont="1">
      <alignment horizontal="right" vertical="top"/>
    </xf>
    <xf borderId="1" fillId="6" fontId="15" numFmtId="0" xfId="0" applyAlignment="1" applyBorder="1" applyFill="1" applyFont="1">
      <alignment horizontal="center" vertical="top"/>
    </xf>
    <xf borderId="1" fillId="6" fontId="9" numFmtId="0" xfId="0" applyAlignment="1" applyBorder="1" applyFill="1" applyFont="1">
      <alignment horizontal="left" vertical="top"/>
    </xf>
    <xf borderId="1" fillId="5" fontId="15" numFmtId="0" xfId="0" applyAlignment="1" applyBorder="1" applyFill="1" applyFont="1">
      <alignment horizontal="left" vertical="top"/>
    </xf>
    <xf borderId="1" fillId="5" fontId="15" numFmtId="0" xfId="0" applyAlignment="1" applyBorder="1" applyFill="1" applyFont="1">
      <alignment horizontal="right" vertical="top"/>
    </xf>
    <xf borderId="1" fillId="5" fontId="15" numFmtId="3" xfId="0" applyAlignment="1" applyBorder="1" applyFill="1" applyFont="1" applyNumberFormat="1">
      <alignment horizontal="right" vertical="top"/>
    </xf>
    <xf borderId="1" fillId="5" fontId="15" numFmtId="0" xfId="0" applyAlignment="1" applyBorder="1" applyFill="1" applyFont="1">
      <alignment horizontal="center" vertical="top"/>
    </xf>
    <xf borderId="1" fillId="0" fontId="15" numFmtId="0" xfId="0" applyAlignment="1" applyBorder="1" applyFont="1">
      <alignment horizontal="left" vertical="top"/>
    </xf>
    <xf borderId="1" fillId="0" fontId="15" numFmtId="0" xfId="0" applyAlignment="1" applyBorder="1" applyFont="1">
      <alignment horizontal="right" vertical="top"/>
    </xf>
    <xf borderId="1" fillId="0" fontId="10" numFmtId="0" xfId="0" applyAlignment="1" applyBorder="1" applyFont="1">
      <alignment horizontal="left" vertical="top"/>
    </xf>
    <xf borderId="1" fillId="10" fontId="25" numFmtId="0" xfId="0" applyAlignment="1" applyBorder="1" applyFill="1" applyFont="1">
      <alignment horizontal="left" shrinkToFit="0" vertical="top" wrapText="1"/>
    </xf>
    <xf borderId="1" fillId="5" fontId="26" numFmtId="0" xfId="0" applyAlignment="1" applyBorder="1" applyFill="1" applyFont="1">
      <alignment horizontal="left" shrinkToFit="0" vertical="top" wrapText="1"/>
    </xf>
    <xf borderId="1" fillId="5" fontId="6" numFmtId="0" xfId="0" applyAlignment="1" applyBorder="1" applyFill="1" applyFont="1">
      <alignment horizontal="left" shrinkToFit="0" vertical="top" wrapText="1"/>
    </xf>
    <xf borderId="0" fillId="5" fontId="19" numFmtId="3" xfId="0" applyFill="1" applyFont="1" applyNumberFormat="1"/>
    <xf borderId="1" fillId="0" fontId="19" numFmtId="0" xfId="0" applyAlignment="1" applyBorder="1" applyFont="1">
      <alignment horizontal="left" shrinkToFit="0" vertical="top" wrapText="1"/>
    </xf>
    <xf borderId="1" fillId="0" fontId="10" numFmtId="0" xfId="0" applyAlignment="1" applyBorder="1" applyFont="1">
      <alignment horizontal="left" shrinkToFit="0" vertical="top" wrapText="1"/>
    </xf>
    <xf borderId="1" fillId="0" fontId="10" numFmtId="0" xfId="0" applyAlignment="1" applyBorder="1" applyFont="1">
      <alignment horizontal="right" vertical="top"/>
    </xf>
    <xf borderId="1" fillId="0" fontId="20" numFmtId="0" xfId="0" applyAlignment="1" applyBorder="1" applyFont="1">
      <alignment horizontal="center" vertical="top"/>
    </xf>
    <xf borderId="1" fillId="9" fontId="27" numFmtId="0" xfId="0" applyAlignment="1" applyBorder="1" applyFill="1" applyFont="1">
      <alignment horizontal="left" vertical="top"/>
    </xf>
    <xf borderId="1" fillId="0" fontId="6" numFmtId="0" xfId="0" applyAlignment="1" applyBorder="1" applyFont="1">
      <alignment horizontal="left" shrinkToFit="0" vertical="top" wrapText="1"/>
    </xf>
    <xf borderId="1" fillId="5" fontId="28" numFmtId="0" xfId="0" applyAlignment="1" applyBorder="1" applyFill="1" applyFont="1">
      <alignment horizontal="left" vertical="top"/>
    </xf>
    <xf borderId="1" fillId="9" fontId="10" numFmtId="4" xfId="0" applyAlignment="1" applyBorder="1" applyFill="1" applyFont="1" applyNumberFormat="1">
      <alignment horizontal="left" vertical="top"/>
    </xf>
    <xf borderId="1" fillId="9" fontId="10" numFmtId="9" xfId="0" applyAlignment="1" applyBorder="1" applyFill="1" applyFont="1" applyNumberFormat="1">
      <alignment horizontal="left" vertical="top"/>
    </xf>
    <xf borderId="1" fillId="5" fontId="29" numFmtId="0" xfId="0" applyAlignment="1" applyBorder="1" applyFill="1" applyFont="1">
      <alignment horizontal="left" vertical="top"/>
    </xf>
    <xf borderId="1" fillId="0" fontId="10" numFmtId="3" xfId="0" applyAlignment="1" applyBorder="1" applyFont="1" applyNumberFormat="1">
      <alignment horizontal="right" vertical="top"/>
    </xf>
    <xf borderId="1" fillId="10" fontId="15" numFmtId="0" xfId="0" applyAlignment="1" applyBorder="1" applyFill="1" applyFont="1">
      <alignment horizontal="left" shrinkToFit="0" vertical="top" wrapText="1"/>
    </xf>
    <xf borderId="1" fillId="0" fontId="15" numFmtId="0" xfId="0" applyAlignment="1" applyBorder="1" applyFont="1">
      <alignment horizontal="center" vertical="center"/>
    </xf>
    <xf borderId="1" fillId="5" fontId="10" numFmtId="0" xfId="0" applyBorder="1" applyFill="1" applyFont="1"/>
    <xf borderId="1" fillId="5" fontId="12" numFmtId="0" xfId="0" applyBorder="1" applyFill="1" applyFont="1"/>
    <xf borderId="1" fillId="5" fontId="15" numFmtId="0" xfId="0" applyAlignment="1" applyBorder="1" applyFill="1" applyFont="1">
      <alignment shrinkToFit="0" vertical="top" wrapText="1"/>
    </xf>
    <xf borderId="1" fillId="0" fontId="10" numFmtId="0" xfId="0" applyAlignment="1" applyBorder="1" applyFont="1">
      <alignment horizontal="center" vertical="center"/>
    </xf>
    <xf borderId="1" fillId="0" fontId="12" numFmtId="0" xfId="0" applyAlignment="1" applyBorder="1" applyFont="1">
      <alignment horizontal="center" vertical="center"/>
    </xf>
    <xf borderId="1" fillId="0" fontId="10" numFmtId="10" xfId="0" applyAlignment="1" applyBorder="1" applyFont="1" applyNumberFormat="1">
      <alignment horizontal="left" shrinkToFit="0" vertical="top" wrapText="1"/>
    </xf>
    <xf borderId="1" fillId="5" fontId="10" numFmtId="0" xfId="0" applyAlignment="1" applyBorder="1" applyFill="1" applyFont="1">
      <alignment horizontal="center" vertical="center"/>
    </xf>
    <xf borderId="1" fillId="5" fontId="12" numFmtId="0" xfId="0" applyAlignment="1" applyBorder="1" applyFill="1" applyFont="1">
      <alignment horizontal="center" vertical="center"/>
    </xf>
    <xf borderId="1" fillId="5" fontId="15" numFmtId="0" xfId="0" applyAlignment="1" applyBorder="1" applyFill="1" applyFont="1">
      <alignment shrinkToFit="0" vertical="bottom" wrapText="1"/>
    </xf>
    <xf borderId="1" fillId="5" fontId="15" numFmtId="0" xfId="0" applyAlignment="1" applyBorder="1" applyFill="1" applyFont="1">
      <alignment horizontal="center" shrinkToFit="0" vertical="center" wrapText="1"/>
    </xf>
    <xf borderId="1" fillId="9" fontId="12" numFmtId="0" xfId="0" applyAlignment="1" applyBorder="1" applyFill="1" applyFont="1">
      <alignment horizontal="center" vertical="center"/>
    </xf>
    <xf borderId="1" fillId="5" fontId="10" numFmtId="9" xfId="0" applyAlignment="1" applyBorder="1" applyFill="1" applyFont="1" applyNumberFormat="1">
      <alignment horizontal="left" vertical="top"/>
    </xf>
    <xf borderId="1" fillId="5" fontId="10" numFmtId="0" xfId="0" applyAlignment="1" applyBorder="1" applyFill="1" applyFont="1">
      <alignment horizontal="center" shrinkToFit="0" vertical="top" wrapText="1"/>
    </xf>
    <xf borderId="1" fillId="6" fontId="6" numFmtId="0" xfId="0" applyAlignment="1" applyBorder="1" applyFill="1" applyFont="1">
      <alignment horizontal="left" vertical="top"/>
    </xf>
    <xf borderId="1" fillId="6" fontId="6" numFmtId="0" xfId="0" applyAlignment="1" applyBorder="1" applyFill="1" applyFont="1">
      <alignment horizontal="right" vertical="top"/>
    </xf>
    <xf borderId="1" fillId="6" fontId="6" numFmtId="0" xfId="0" applyAlignment="1" applyBorder="1" applyFill="1" applyFont="1">
      <alignment horizontal="center" vertical="top"/>
    </xf>
    <xf borderId="1" fillId="6" fontId="6" numFmtId="0" xfId="0" applyAlignment="1" applyBorder="1" applyFill="1" applyFont="1">
      <alignment horizontal="center" vertical="center"/>
    </xf>
    <xf borderId="1" fillId="6" fontId="6" numFmtId="0" xfId="0" applyAlignment="1" applyBorder="1" applyFill="1" applyFont="1">
      <alignment horizontal="left" shrinkToFit="0" vertical="top" wrapText="1"/>
    </xf>
    <xf borderId="1" fillId="5" fontId="6" numFmtId="0" xfId="0" applyAlignment="1" applyBorder="1" applyFill="1" applyFont="1">
      <alignment horizontal="left" vertical="top"/>
    </xf>
    <xf borderId="1" fillId="5" fontId="20" numFmtId="0" xfId="0" applyBorder="1" applyFill="1" applyFont="1"/>
    <xf borderId="0" fillId="5" fontId="10" numFmtId="0" xfId="0" applyAlignment="1" applyFill="1" applyFont="1">
      <alignment horizontal="left" vertical="top"/>
    </xf>
    <xf borderId="1" fillId="0" fontId="10" numFmtId="0" xfId="0" applyBorder="1" applyFont="1"/>
    <xf borderId="1" fillId="0" fontId="20" numFmtId="0" xfId="0" applyBorder="1" applyFont="1"/>
    <xf borderId="0" fillId="0" fontId="30" numFmtId="0" xfId="0" applyAlignment="1" applyFont="1">
      <alignment vertical="bottom"/>
    </xf>
    <xf borderId="0" fillId="0" fontId="31" numFmtId="0" xfId="0" applyAlignment="1" applyFont="1">
      <alignment vertical="bottom"/>
    </xf>
    <xf borderId="0" fillId="0" fontId="32" numFmtId="0" xfId="0" applyAlignment="1" applyFont="1">
      <alignment vertical="bottom"/>
    </xf>
    <xf borderId="0" fillId="0" fontId="33" numFmtId="0" xfId="0" applyAlignment="1" applyFont="1">
      <alignment vertical="bottom"/>
    </xf>
    <xf borderId="0" fillId="0" fontId="32" numFmtId="166" xfId="0" applyAlignment="1" applyFont="1" applyNumberFormat="1">
      <alignment vertical="bottom"/>
    </xf>
    <xf borderId="0" fillId="0" fontId="34" numFmtId="0" xfId="0" applyAlignment="1" applyFont="1">
      <alignment vertical="bottom"/>
    </xf>
    <xf borderId="0" fillId="0" fontId="35" numFmtId="0" xfId="0" applyAlignment="1" applyFont="1">
      <alignment vertical="bottom"/>
    </xf>
    <xf borderId="0" fillId="0" fontId="36" numFmtId="0" xfId="0" applyAlignment="1" applyFont="1">
      <alignment shrinkToFit="0" vertical="bottom" wrapText="1"/>
    </xf>
    <xf borderId="0" fillId="0" fontId="37" numFmtId="0" xfId="0" applyFont="1"/>
  </cellXfs>
  <cellStyles count="1">
    <cellStyle xfId="0" name="Normal" builtinId="0"/>
  </cellStyles>
  <dxfs count="2">
    <dxf>
      <font/>
      <fill>
        <patternFill patternType="none"/>
      </fill>
      <border/>
    </dxf>
    <dxf>
      <font/>
      <fill>
        <patternFill patternType="solid">
          <fgColor rgb="FFFF9900"/>
          <bgColor rgb="FFFF99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40" Type="http://schemas.openxmlformats.org/officeDocument/2006/relationships/hyperlink" Target="https://www.trendsettersco.com/" TargetMode="External"/><Relationship Id="rId84" Type="http://schemas.openxmlformats.org/officeDocument/2006/relationships/hyperlink" Target="https://www.indiamart.com/gt-m-industries/profile.html?srsltid=AfmBOooxnFUaoOSNv5LdNRv7O3eZFoSIC05HxHUGGF-nd9gHCF-TGhwE" TargetMode="External"/><Relationship Id="rId83" Type="http://schemas.openxmlformats.org/officeDocument/2006/relationships/hyperlink" Target="https://yesfashions.com/sustainability/" TargetMode="External"/><Relationship Id="rId42" Type="http://schemas.openxmlformats.org/officeDocument/2006/relationships/hyperlink" Target="https://chiripalgroup.com/union-budget2025-26-catalyzing-growth-and-innovation-at-nandan-yerry-limited" TargetMode="External"/><Relationship Id="rId86" Type="http://schemas.openxmlformats.org/officeDocument/2006/relationships/hyperlink" Target="https://www.kdhtextile.com/" TargetMode="External"/><Relationship Id="rId41" Type="http://schemas.openxmlformats.org/officeDocument/2006/relationships/hyperlink" Target="https://www.banox.in/sustainability/" TargetMode="External"/><Relationship Id="rId85" Type="http://schemas.openxmlformats.org/officeDocument/2006/relationships/hyperlink" Target="http://hemlaembroidery.com/" TargetMode="External"/><Relationship Id="rId44" Type="http://schemas.openxmlformats.org/officeDocument/2006/relationships/hyperlink" Target="https://rmpgroup.com/" TargetMode="External"/><Relationship Id="rId88" Type="http://schemas.openxmlformats.org/officeDocument/2006/relationships/hyperlink" Target="https://www.leatherworkinggroup.com/get-involved/our-community/certified-suppliers/nivin-leathers/" TargetMode="External"/><Relationship Id="rId43" Type="http://schemas.openxmlformats.org/officeDocument/2006/relationships/hyperlink" Target="https://www.obeetee.in/pages/sustainability" TargetMode="External"/><Relationship Id="rId87" Type="http://schemas.openxmlformats.org/officeDocument/2006/relationships/hyperlink" Target="https://maximasolutions.co.in/" TargetMode="External"/><Relationship Id="rId46" Type="http://schemas.openxmlformats.org/officeDocument/2006/relationships/hyperlink" Target="https://jawandson.com/esg-compass/" TargetMode="External"/><Relationship Id="rId45" Type="http://schemas.openxmlformats.org/officeDocument/2006/relationships/hyperlink" Target="https://www.goodleathergroup.com/sustainability" TargetMode="External"/><Relationship Id="rId89" Type="http://schemas.openxmlformats.org/officeDocument/2006/relationships/hyperlink" Target="https://www.rodiro.com/responsibility" TargetMode="External"/><Relationship Id="rId80" Type="http://schemas.openxmlformats.org/officeDocument/2006/relationships/hyperlink" Target="https://www.vasnoorullah.com/" TargetMode="External"/><Relationship Id="rId82" Type="http://schemas.openxmlformats.org/officeDocument/2006/relationships/hyperlink" Target="https://www.fabtechgroups.com/our-sustainablity/" TargetMode="External"/><Relationship Id="rId81" Type="http://schemas.openxmlformats.org/officeDocument/2006/relationships/hyperlink" Target="https://tracxn.com/d/legal-entities/india/carlrima-impex-private-limited/__Vk0pcH1Y_jYk7LiavkZ2niF38tVGnRqmWAMOa0N9YII" TargetMode="External"/><Relationship Id="rId1" Type="http://schemas.openxmlformats.org/officeDocument/2006/relationships/hyperlink" Target="https://www.agplindia.in/" TargetMode="External"/><Relationship Id="rId2" Type="http://schemas.openxmlformats.org/officeDocument/2006/relationships/hyperlink" Target="https://www.scmgarments.com/index.php" TargetMode="External"/><Relationship Id="rId3" Type="http://schemas.openxmlformats.org/officeDocument/2006/relationships/hyperlink" Target="https://www.indian-designs.com/csr-activities/" TargetMode="External"/><Relationship Id="rId4" Type="http://schemas.openxmlformats.org/officeDocument/2006/relationships/hyperlink" Target="https://www.arvind.com/sites/default/files/sustainability_listing/Arvind_Limited_SR_2022-24_web.pdf" TargetMode="External"/><Relationship Id="rId9" Type="http://schemas.openxmlformats.org/officeDocument/2006/relationships/hyperlink" Target="https://clgupta.com/wp-content/uploads/2026/01/C.L.-Gupta-Exports_Sustainability_Report_2024_fINAL.pdf" TargetMode="External"/><Relationship Id="rId48" Type="http://schemas.openxmlformats.org/officeDocument/2006/relationships/hyperlink" Target="https://indodanlampshades.com/csr" TargetMode="External"/><Relationship Id="rId47" Type="http://schemas.openxmlformats.org/officeDocument/2006/relationships/hyperlink" Target="https://www.goodleathergroup.com/" TargetMode="External"/><Relationship Id="rId49" Type="http://schemas.openxmlformats.org/officeDocument/2006/relationships/hyperlink" Target="http://rsprintfab.com/" TargetMode="External"/><Relationship Id="rId5" Type="http://schemas.openxmlformats.org/officeDocument/2006/relationships/hyperlink" Target="https://www.arvind.com/sites/default/files/sustainability_listing/Arvind_Limited_SR_2022-24_web.pdf" TargetMode="External"/><Relationship Id="rId6" Type="http://schemas.openxmlformats.org/officeDocument/2006/relationships/hyperlink" Target="https://www.raymonddenim.com/Sustain/Garment" TargetMode="External"/><Relationship Id="rId7" Type="http://schemas.openxmlformats.org/officeDocument/2006/relationships/hyperlink" Target="https://www.firststepsindia.com/sustainability-report/" TargetMode="External"/><Relationship Id="rId8" Type="http://schemas.openxmlformats.org/officeDocument/2006/relationships/hyperlink" Target="https://www.arvind.com/sites/default/files/sustainability_listing/Arvind_Limited_SR_2022-24_web.pdf" TargetMode="External"/><Relationship Id="rId73" Type="http://schemas.openxmlformats.org/officeDocument/2006/relationships/hyperlink" Target="https://www.cfart.org/product-category/christmas/" TargetMode="External"/><Relationship Id="rId72" Type="http://schemas.openxmlformats.org/officeDocument/2006/relationships/hyperlink" Target="https://www.amitexports.com/" TargetMode="External"/><Relationship Id="rId31" Type="http://schemas.openxmlformats.org/officeDocument/2006/relationships/hyperlink" Target="https://www.fiabila.net/wp-content/uploads/2023/01/CSR-REPORT-2023.pdf" TargetMode="External"/><Relationship Id="rId75" Type="http://schemas.openxmlformats.org/officeDocument/2006/relationships/hyperlink" Target="https://www.jaincord.com/sustainability/" TargetMode="External"/><Relationship Id="rId30" Type="http://schemas.openxmlformats.org/officeDocument/2006/relationships/hyperlink" Target="https://www.premierfinelinens.com/sustainability.html" TargetMode="External"/><Relationship Id="rId74" Type="http://schemas.openxmlformats.org/officeDocument/2006/relationships/hyperlink" Target="https://www.shakthiknitting.com/Social/Social.htm" TargetMode="External"/><Relationship Id="rId33" Type="http://schemas.openxmlformats.org/officeDocument/2006/relationships/hyperlink" Target="http://www.marqueimpex.com/" TargetMode="External"/><Relationship Id="rId77" Type="http://schemas.openxmlformats.org/officeDocument/2006/relationships/hyperlink" Target="https://www.srgapparels.com/sustainabilit" TargetMode="External"/><Relationship Id="rId32" Type="http://schemas.openxmlformats.org/officeDocument/2006/relationships/hyperlink" Target="https://www.guptaoverseas.com/golife/" TargetMode="External"/><Relationship Id="rId76" Type="http://schemas.openxmlformats.org/officeDocument/2006/relationships/hyperlink" Target="https://tracxn.com/d/legal-entities/india/saroj-leathers-india-private-limited/__gMASGUVK7_ewKfxYV07VE3XsjEiYbOfMk9pAx0lmrds" TargetMode="External"/><Relationship Id="rId35" Type="http://schemas.openxmlformats.org/officeDocument/2006/relationships/hyperlink" Target="https://www.soniinternational.com/in" TargetMode="External"/><Relationship Id="rId79" Type="http://schemas.openxmlformats.org/officeDocument/2006/relationships/hyperlink" Target="https://www.cocotuft.com/" TargetMode="External"/><Relationship Id="rId34" Type="http://schemas.openxmlformats.org/officeDocument/2006/relationships/hyperlink" Target="https://basant.info/contact-us.html" TargetMode="External"/><Relationship Id="rId78" Type="http://schemas.openxmlformats.org/officeDocument/2006/relationships/hyperlink" Target="https://www.leatherworkinggroup.com/get-involved/our-community/certified-suppliers/star-exports-b-tannery-sta103/" TargetMode="External"/><Relationship Id="rId71" Type="http://schemas.openxmlformats.org/officeDocument/2006/relationships/hyperlink" Target="https://www.shakthiknitting.com/Social/Social.htm" TargetMode="External"/><Relationship Id="rId70" Type="http://schemas.openxmlformats.org/officeDocument/2006/relationships/hyperlink" Target="https://www.viswastextile.com/copy-of-infrastructure" TargetMode="External"/><Relationship Id="rId37" Type="http://schemas.openxmlformats.org/officeDocument/2006/relationships/hyperlink" Target="https://farida.co.in/csr.htm" TargetMode="External"/><Relationship Id="rId36" Type="http://schemas.openxmlformats.org/officeDocument/2006/relationships/hyperlink" Target="https://www.teejay.com/imgup/pdf/teejay-annual-report-2025-26.pdf" TargetMode="External"/><Relationship Id="rId39" Type="http://schemas.openxmlformats.org/officeDocument/2006/relationships/hyperlink" Target="https://www.sahuglobal.com/sustainability" TargetMode="External"/><Relationship Id="rId38" Type="http://schemas.openxmlformats.org/officeDocument/2006/relationships/hyperlink" Target="https://tracxn.com/d/legal-entities/india/golden-fashions-india-private-limited/__v8yWj7WivXd6-4D84Zwurn4_HyuGD68kWrmF4b3-Rmg" TargetMode="External"/><Relationship Id="rId62" Type="http://schemas.openxmlformats.org/officeDocument/2006/relationships/hyperlink" Target="https://www.justdial.com/Noida/Rastogi-Enterprises/011PXX11-XX11-190814004553-Q2G8_BZDET" TargetMode="External"/><Relationship Id="rId61" Type="http://schemas.openxmlformats.org/officeDocument/2006/relationships/hyperlink" Target="https://tracxn.com/d/legal-entities/india/radium-creation-private-limited/__mB2Va3E2xtGNfqhzDdlNb4C9XQ2UsVUuZPxSBwGtR5o" TargetMode="External"/><Relationship Id="rId20" Type="http://schemas.openxmlformats.org/officeDocument/2006/relationships/hyperlink" Target="https://brandix.com/wp-content/uploads/2025/10/Brandix-ESG-Report-24-25.pdf" TargetMode="External"/><Relationship Id="rId64" Type="http://schemas.openxmlformats.org/officeDocument/2006/relationships/hyperlink" Target="https://radnikauto.com/sustainability" TargetMode="External"/><Relationship Id="rId63" Type="http://schemas.openxmlformats.org/officeDocument/2006/relationships/hyperlink" Target="https://paramountproducts.in/infrastructure.php" TargetMode="External"/><Relationship Id="rId22" Type="http://schemas.openxmlformats.org/officeDocument/2006/relationships/hyperlink" Target="https://cieltextile.com/sites/default/files/sustainablity/CIEL_Textile_Winning_Well_Altogether_report_2024.pdf" TargetMode="External"/><Relationship Id="rId66" Type="http://schemas.openxmlformats.org/officeDocument/2006/relationships/hyperlink" Target="https://shahi.co.in/wp-content/uploads/2025/04/Shahi-Exports-Sustainability-Report-FY-2023-24-1.pdf" TargetMode="External"/><Relationship Id="rId21" Type="http://schemas.openxmlformats.org/officeDocument/2006/relationships/hyperlink" Target="https://tracxn.com/d/legal-entities/india/intimate-fashions-india-private-limited/__l28_7JPdJ5jZMYNGxfZ-Jv6MUq1e7Zv8mV6guamp7OQ" TargetMode="External"/><Relationship Id="rId65" Type="http://schemas.openxmlformats.org/officeDocument/2006/relationships/hyperlink" Target="https://radnikauto.com/sustainability" TargetMode="External"/><Relationship Id="rId24" Type="http://schemas.openxmlformats.org/officeDocument/2006/relationships/hyperlink" Target="https://radiaantexpovision.in/sustainability/" TargetMode="External"/><Relationship Id="rId68" Type="http://schemas.openxmlformats.org/officeDocument/2006/relationships/hyperlink" Target="https://www.seetkamal.com/sustainability.html" TargetMode="External"/><Relationship Id="rId23" Type="http://schemas.openxmlformats.org/officeDocument/2006/relationships/hyperlink" Target="https://tracxn.com/d/legal-entities/india/dileep-art-and-crafts-private-limited/__HrZ3p_njt0W5cAw4UEKsH0PeXx_V8VlqdFLT5ABW0lM" TargetMode="External"/><Relationship Id="rId67" Type="http://schemas.openxmlformats.org/officeDocument/2006/relationships/hyperlink" Target="https://www.kpmprocessingmill.com/" TargetMode="External"/><Relationship Id="rId60" Type="http://schemas.openxmlformats.org/officeDocument/2006/relationships/hyperlink" Target="https://www.neokraft.in/sustainability.html" TargetMode="External"/><Relationship Id="rId26" Type="http://schemas.openxmlformats.org/officeDocument/2006/relationships/hyperlink" Target="https://www.asianfab.com/we_are_responsible.html" TargetMode="External"/><Relationship Id="rId25" Type="http://schemas.openxmlformats.org/officeDocument/2006/relationships/hyperlink" Target="https://nccindia.com/" TargetMode="External"/><Relationship Id="rId69" Type="http://schemas.openxmlformats.org/officeDocument/2006/relationships/hyperlink" Target="https://shahi.co.in/wp-content/uploads/2025/04/Shahi-Exports-Sustainability-Report-FY-2023-24-1.pdf" TargetMode="External"/><Relationship Id="rId28" Type="http://schemas.openxmlformats.org/officeDocument/2006/relationships/hyperlink" Target="https://tracxn.com/d/legal-entities/india/dileep-potteries-private-limited/__JBGP4Wlg5p9hT-bkw7FYzXxiZWUMjCe_9_9K2shQL3A" TargetMode="External"/><Relationship Id="rId27" Type="http://schemas.openxmlformats.org/officeDocument/2006/relationships/hyperlink" Target="https://rajgroup.in/csr-sustainability/" TargetMode="External"/><Relationship Id="rId29" Type="http://schemas.openxmlformats.org/officeDocument/2006/relationships/hyperlink" Target="https://www.tatainternational.com/wp-content/uploads/pdf/Tata%20International_AR%202024-25_ESG%20Report_Inside.pdf" TargetMode="External"/><Relationship Id="rId51" Type="http://schemas.openxmlformats.org/officeDocument/2006/relationships/hyperlink" Target="https://www.careratings.com/upload/CompanyFiles/PR/202304150414_Arthanari%20Loom%20Centre%20Textile%20Private%20Limited.pdf" TargetMode="External"/><Relationship Id="rId95" Type="http://schemas.openxmlformats.org/officeDocument/2006/relationships/drawing" Target="../drawings/drawing3.xml"/><Relationship Id="rId50" Type="http://schemas.openxmlformats.org/officeDocument/2006/relationships/hyperlink" Target="https://www.aartiinternational.com/sustainability.php" TargetMode="External"/><Relationship Id="rId94" Type="http://schemas.openxmlformats.org/officeDocument/2006/relationships/hyperlink" Target="https://wfbbaird.com/awards-and-certifications.html" TargetMode="External"/><Relationship Id="rId53" Type="http://schemas.openxmlformats.org/officeDocument/2006/relationships/hyperlink" Target="https://nsearchives.nseindia.com/corporate/KPRMILL_27062026114004_23RDAGMNOTICEANNUALREPORT.pdf" TargetMode="External"/><Relationship Id="rId52" Type="http://schemas.openxmlformats.org/officeDocument/2006/relationships/hyperlink" Target="https://daksindia.com/sustainability-3" TargetMode="External"/><Relationship Id="rId11" Type="http://schemas.openxmlformats.org/officeDocument/2006/relationships/hyperlink" Target="https://ctaapparels.com/sustainability" TargetMode="External"/><Relationship Id="rId55" Type="http://schemas.openxmlformats.org/officeDocument/2006/relationships/hyperlink" Target="https://designco-india.com/production-process.php" TargetMode="External"/><Relationship Id="rId10" Type="http://schemas.openxmlformats.org/officeDocument/2006/relationships/hyperlink" Target="https://globalfashionindia.com/csr" TargetMode="External"/><Relationship Id="rId54" Type="http://schemas.openxmlformats.org/officeDocument/2006/relationships/hyperlink" Target="https://www.careratings.com/upload/CompanyFiles/PR/CENTEX%20INTERNATIONAL%20PRIVATE%20LIMITED-03-18-2016.pdf" TargetMode="External"/><Relationship Id="rId13" Type="http://schemas.openxmlformats.org/officeDocument/2006/relationships/hyperlink" Target="https://www.kitexgarments.com/wp-content/uploads/2026/04/BRSR-24-25.pdf" TargetMode="External"/><Relationship Id="rId57" Type="http://schemas.openxmlformats.org/officeDocument/2006/relationships/hyperlink" Target="https://tracxn.com/d/legal-entities/india/vinty-impex-private-limited/___YnxhMAM7prQWkbnQjNtYAjYCExStT2IQnwt3F0R1Xo" TargetMode="External"/><Relationship Id="rId12" Type="http://schemas.openxmlformats.org/officeDocument/2006/relationships/hyperlink" Target="https://www.linkedin.com/company/victus-dyeings/?original_referer=https%3A%2F%2Fwww%2Egoogle%2Ecom%2F&amp;originalSubdomain=in" TargetMode="External"/><Relationship Id="rId56" Type="http://schemas.openxmlformats.org/officeDocument/2006/relationships/hyperlink" Target="https://alpineapparels.com/what-we-do/" TargetMode="External"/><Relationship Id="rId91" Type="http://schemas.openxmlformats.org/officeDocument/2006/relationships/hyperlink" Target="https://tracxn.com/d/legal-entities/india/regi-india-cosmetics-private-limited/__0bzQ6gUVwNDF58vh3oTa9lsF52uoWLJLwrU33XS6zRc" TargetMode="External"/><Relationship Id="rId90" Type="http://schemas.openxmlformats.org/officeDocument/2006/relationships/hyperlink" Target="https://precot.com/sustainability/" TargetMode="External"/><Relationship Id="rId93" Type="http://schemas.openxmlformats.org/officeDocument/2006/relationships/hyperlink" Target="https://tulipapparels.com/" TargetMode="External"/><Relationship Id="rId92" Type="http://schemas.openxmlformats.org/officeDocument/2006/relationships/hyperlink" Target="https://stella-indusstries.com/corporate-governance" TargetMode="External"/><Relationship Id="rId15" Type="http://schemas.openxmlformats.org/officeDocument/2006/relationships/hyperlink" Target="http://lesharkglobal.com" TargetMode="External"/><Relationship Id="rId59" Type="http://schemas.openxmlformats.org/officeDocument/2006/relationships/hyperlink" Target="https://champoofficial.com/" TargetMode="External"/><Relationship Id="rId14" Type="http://schemas.openxmlformats.org/officeDocument/2006/relationships/hyperlink" Target="https://cottonworld.net/pages/initiative?srsltid=AfmBOooiOqQWPLyAiazAyS0GPE5LV0QjoC_sYhf12AOd7YbSsq6PjuBE" TargetMode="External"/><Relationship Id="rId58" Type="http://schemas.openxmlformats.org/officeDocument/2006/relationships/hyperlink" Target="https://www.crisilratings.com/mnt/winshare/Ratings/RatingList/RatingDocs/A.C.%20Brothers-RU-30-07-2026.pdf" TargetMode="External"/><Relationship Id="rId17" Type="http://schemas.openxmlformats.org/officeDocument/2006/relationships/hyperlink" Target="https://atlas.in/esg/environment/" TargetMode="External"/><Relationship Id="rId16" Type="http://schemas.openxmlformats.org/officeDocument/2006/relationships/hyperlink" Target="https://khindia.com/sustainability" TargetMode="External"/><Relationship Id="rId19" Type="http://schemas.openxmlformats.org/officeDocument/2006/relationships/hyperlink" Target="https://ctaapparels.com/sustainability" TargetMode="External"/><Relationship Id="rId18" Type="http://schemas.openxmlformats.org/officeDocument/2006/relationships/hyperlink" Target="https://www.shenghongholding.com/uploads/2026-02-26/c5098b3a-080d-4095-b89c-ec0314e88c2a1772095251447.pdf"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10.0"/>
    <col customWidth="1" min="2" max="6" width="8.71"/>
  </cols>
  <sheetData>
    <row r="1">
      <c r="A1" s="3" t="s">
        <v>2</v>
      </c>
      <c r="B1" s="5"/>
      <c r="C1" s="5"/>
      <c r="D1" s="5"/>
      <c r="E1" s="5"/>
      <c r="F1" s="5"/>
      <c r="G1" s="5"/>
      <c r="H1" s="5"/>
      <c r="I1" s="5"/>
      <c r="J1" s="5"/>
      <c r="K1" s="5"/>
      <c r="L1" s="5"/>
      <c r="M1" s="5"/>
      <c r="N1" s="5"/>
      <c r="O1" s="5"/>
      <c r="P1" s="5"/>
      <c r="Q1" s="5"/>
      <c r="R1" s="5"/>
      <c r="S1" s="5"/>
      <c r="T1" s="5"/>
      <c r="U1" s="5"/>
      <c r="V1" s="5"/>
      <c r="W1" s="5"/>
      <c r="X1" s="5"/>
      <c r="Y1" s="5"/>
      <c r="Z1" s="5"/>
    </row>
    <row r="2">
      <c r="A2" s="5"/>
      <c r="B2" s="5"/>
      <c r="C2" s="5"/>
      <c r="D2" s="5"/>
      <c r="E2" s="5"/>
      <c r="F2" s="5"/>
      <c r="G2" s="5"/>
      <c r="H2" s="5"/>
      <c r="I2" s="5"/>
      <c r="J2" s="5"/>
      <c r="K2" s="5"/>
      <c r="L2" s="5"/>
      <c r="M2" s="5"/>
      <c r="N2" s="5"/>
      <c r="O2" s="5"/>
      <c r="P2" s="5"/>
      <c r="Q2" s="5"/>
      <c r="R2" s="5"/>
      <c r="S2" s="5"/>
      <c r="T2" s="5"/>
      <c r="U2" s="5"/>
      <c r="V2" s="5"/>
      <c r="W2" s="5"/>
      <c r="X2" s="5"/>
      <c r="Y2" s="5"/>
      <c r="Z2" s="5"/>
    </row>
    <row r="3">
      <c r="A3" s="9" t="s">
        <v>46</v>
      </c>
      <c r="B3" s="5"/>
      <c r="C3" s="5"/>
      <c r="D3" s="5"/>
      <c r="E3" s="5"/>
      <c r="F3" s="5"/>
      <c r="G3" s="5"/>
      <c r="H3" s="5"/>
      <c r="I3" s="5"/>
      <c r="J3" s="5"/>
      <c r="K3" s="5"/>
      <c r="L3" s="5"/>
      <c r="M3" s="5"/>
      <c r="N3" s="5"/>
      <c r="O3" s="5"/>
      <c r="P3" s="5"/>
      <c r="Q3" s="5"/>
      <c r="R3" s="5"/>
      <c r="S3" s="5"/>
      <c r="T3" s="5"/>
      <c r="U3" s="5"/>
      <c r="V3" s="5"/>
      <c r="W3" s="5"/>
      <c r="X3" s="5"/>
      <c r="Y3" s="5"/>
      <c r="Z3" s="5"/>
    </row>
    <row r="4">
      <c r="A4" s="10" t="s">
        <v>67</v>
      </c>
      <c r="B4" s="5"/>
      <c r="C4" s="5"/>
      <c r="D4" s="5"/>
      <c r="E4" s="5"/>
      <c r="F4" s="5"/>
      <c r="G4" s="5"/>
      <c r="H4" s="5"/>
      <c r="I4" s="5"/>
      <c r="J4" s="5"/>
      <c r="K4" s="5"/>
      <c r="L4" s="5"/>
      <c r="M4" s="5"/>
      <c r="N4" s="5"/>
      <c r="O4" s="5"/>
      <c r="P4" s="5"/>
      <c r="Q4" s="5"/>
      <c r="R4" s="5"/>
      <c r="S4" s="5"/>
      <c r="T4" s="5"/>
      <c r="U4" s="5"/>
      <c r="V4" s="5"/>
      <c r="W4" s="5"/>
      <c r="X4" s="5"/>
      <c r="Y4" s="5"/>
      <c r="Z4" s="5"/>
    </row>
    <row r="5">
      <c r="A5" s="5"/>
      <c r="B5" s="5"/>
      <c r="C5" s="5"/>
      <c r="D5" s="5"/>
      <c r="E5" s="5"/>
      <c r="F5" s="5"/>
      <c r="G5" s="5"/>
      <c r="H5" s="5"/>
      <c r="I5" s="5"/>
      <c r="J5" s="5"/>
      <c r="K5" s="5"/>
      <c r="L5" s="5"/>
      <c r="M5" s="5"/>
      <c r="N5" s="5"/>
      <c r="O5" s="5"/>
      <c r="P5" s="5"/>
      <c r="Q5" s="5"/>
      <c r="R5" s="5"/>
      <c r="S5" s="5"/>
      <c r="T5" s="5"/>
      <c r="U5" s="5"/>
      <c r="V5" s="5"/>
      <c r="W5" s="5"/>
      <c r="X5" s="5"/>
      <c r="Y5" s="5"/>
      <c r="Z5" s="5"/>
    </row>
    <row r="6">
      <c r="A6" s="9" t="s">
        <v>90</v>
      </c>
      <c r="B6" s="5"/>
      <c r="C6" s="5"/>
      <c r="D6" s="5"/>
      <c r="E6" s="5"/>
      <c r="F6" s="5"/>
      <c r="G6" s="5"/>
      <c r="H6" s="5"/>
      <c r="I6" s="5"/>
      <c r="J6" s="5"/>
      <c r="K6" s="5"/>
      <c r="L6" s="5"/>
      <c r="M6" s="5"/>
      <c r="N6" s="5"/>
      <c r="O6" s="5"/>
      <c r="P6" s="5"/>
      <c r="Q6" s="5"/>
      <c r="R6" s="5"/>
      <c r="S6" s="5"/>
      <c r="T6" s="5"/>
      <c r="U6" s="5"/>
      <c r="V6" s="5"/>
      <c r="W6" s="5"/>
      <c r="X6" s="5"/>
      <c r="Y6" s="5"/>
      <c r="Z6" s="5"/>
    </row>
    <row r="7">
      <c r="A7" s="10" t="s">
        <v>103</v>
      </c>
      <c r="B7" s="5"/>
      <c r="C7" s="5"/>
      <c r="D7" s="5"/>
      <c r="E7" s="5"/>
      <c r="F7" s="5"/>
      <c r="G7" s="5"/>
      <c r="H7" s="5"/>
      <c r="I7" s="5"/>
      <c r="J7" s="5"/>
      <c r="K7" s="5"/>
      <c r="L7" s="5"/>
      <c r="M7" s="5"/>
      <c r="N7" s="5"/>
      <c r="O7" s="5"/>
      <c r="P7" s="5"/>
      <c r="Q7" s="5"/>
      <c r="R7" s="5"/>
      <c r="S7" s="5"/>
      <c r="T7" s="5"/>
      <c r="U7" s="5"/>
      <c r="V7" s="5"/>
      <c r="W7" s="5"/>
      <c r="X7" s="5"/>
      <c r="Y7" s="5"/>
      <c r="Z7" s="5"/>
    </row>
    <row r="8">
      <c r="A8" s="10" t="s">
        <v>110</v>
      </c>
      <c r="B8" s="5"/>
      <c r="C8" s="5"/>
      <c r="D8" s="5"/>
      <c r="E8" s="5"/>
      <c r="F8" s="5"/>
      <c r="G8" s="5"/>
      <c r="H8" s="5"/>
      <c r="I8" s="5"/>
      <c r="J8" s="5"/>
      <c r="K8" s="5"/>
      <c r="L8" s="5"/>
      <c r="M8" s="5"/>
      <c r="N8" s="5"/>
      <c r="O8" s="5"/>
      <c r="P8" s="5"/>
      <c r="Q8" s="5"/>
      <c r="R8" s="5"/>
      <c r="S8" s="5"/>
      <c r="T8" s="5"/>
      <c r="U8" s="5"/>
      <c r="V8" s="5"/>
      <c r="W8" s="5"/>
      <c r="X8" s="5"/>
      <c r="Y8" s="5"/>
      <c r="Z8" s="5"/>
    </row>
    <row r="9">
      <c r="A9" s="10" t="s">
        <v>115</v>
      </c>
      <c r="B9" s="5"/>
      <c r="C9" s="5"/>
      <c r="D9" s="5"/>
      <c r="E9" s="5"/>
      <c r="F9" s="5"/>
      <c r="G9" s="5"/>
      <c r="H9" s="5"/>
      <c r="I9" s="5"/>
      <c r="J9" s="5"/>
      <c r="K9" s="5"/>
      <c r="L9" s="5"/>
      <c r="M9" s="5"/>
      <c r="N9" s="5"/>
      <c r="O9" s="5"/>
      <c r="P9" s="5"/>
      <c r="Q9" s="5"/>
      <c r="R9" s="5"/>
      <c r="S9" s="5"/>
      <c r="T9" s="5"/>
      <c r="U9" s="5"/>
      <c r="V9" s="5"/>
      <c r="W9" s="5"/>
      <c r="X9" s="5"/>
      <c r="Y9" s="5"/>
      <c r="Z9" s="5"/>
    </row>
    <row r="10">
      <c r="A10" s="5"/>
      <c r="B10" s="5"/>
      <c r="C10" s="5"/>
      <c r="D10" s="5"/>
      <c r="E10" s="5"/>
      <c r="F10" s="5"/>
      <c r="G10" s="5"/>
      <c r="H10" s="5"/>
      <c r="I10" s="5"/>
      <c r="J10" s="5"/>
      <c r="K10" s="5"/>
      <c r="L10" s="5"/>
      <c r="M10" s="5"/>
      <c r="N10" s="5"/>
      <c r="O10" s="5"/>
      <c r="P10" s="5"/>
      <c r="Q10" s="5"/>
      <c r="R10" s="5"/>
      <c r="S10" s="5"/>
      <c r="T10" s="5"/>
      <c r="U10" s="5"/>
      <c r="V10" s="5"/>
      <c r="W10" s="5"/>
      <c r="X10" s="5"/>
      <c r="Y10" s="5"/>
      <c r="Z10" s="5"/>
    </row>
    <row r="11">
      <c r="A11" s="9" t="s">
        <v>123</v>
      </c>
      <c r="B11" s="5"/>
      <c r="C11" s="5"/>
      <c r="D11" s="5"/>
      <c r="E11" s="5"/>
      <c r="F11" s="5"/>
      <c r="G11" s="5"/>
      <c r="H11" s="5"/>
      <c r="I11" s="5"/>
      <c r="J11" s="5"/>
      <c r="K11" s="5"/>
      <c r="L11" s="5"/>
      <c r="M11" s="5"/>
      <c r="N11" s="5"/>
      <c r="O11" s="5"/>
      <c r="P11" s="5"/>
      <c r="Q11" s="5"/>
      <c r="R11" s="5"/>
      <c r="S11" s="5"/>
      <c r="T11" s="5"/>
      <c r="U11" s="5"/>
      <c r="V11" s="5"/>
      <c r="W11" s="5"/>
      <c r="X11" s="5"/>
      <c r="Y11" s="5"/>
      <c r="Z11" s="5"/>
    </row>
    <row r="12">
      <c r="A12" s="19" t="s">
        <v>136</v>
      </c>
      <c r="B12" s="5"/>
      <c r="C12" s="5"/>
      <c r="D12" s="5"/>
      <c r="E12" s="5"/>
      <c r="F12" s="5"/>
      <c r="G12" s="5"/>
      <c r="H12" s="5"/>
      <c r="I12" s="5"/>
      <c r="J12" s="5"/>
      <c r="K12" s="5"/>
      <c r="L12" s="5"/>
      <c r="M12" s="5"/>
      <c r="N12" s="5"/>
      <c r="O12" s="5"/>
      <c r="P12" s="5"/>
      <c r="Q12" s="5"/>
      <c r="R12" s="5"/>
      <c r="S12" s="5"/>
      <c r="T12" s="5"/>
      <c r="U12" s="5"/>
      <c r="V12" s="5"/>
      <c r="W12" s="5"/>
      <c r="X12" s="5"/>
      <c r="Y12" s="5"/>
      <c r="Z12" s="5"/>
    </row>
    <row r="13">
      <c r="A13" s="20" t="s">
        <v>146</v>
      </c>
      <c r="B13" s="5"/>
      <c r="C13" s="5"/>
      <c r="D13" s="5"/>
      <c r="E13" s="5"/>
      <c r="F13" s="5"/>
      <c r="G13" s="5"/>
      <c r="H13" s="5"/>
      <c r="I13" s="5"/>
      <c r="J13" s="5"/>
      <c r="K13" s="5"/>
      <c r="L13" s="5"/>
      <c r="M13" s="5"/>
      <c r="N13" s="5"/>
      <c r="O13" s="5"/>
      <c r="P13" s="5"/>
      <c r="Q13" s="5"/>
      <c r="R13" s="5"/>
      <c r="S13" s="5"/>
      <c r="T13" s="5"/>
      <c r="U13" s="5"/>
      <c r="V13" s="5"/>
      <c r="W13" s="5"/>
      <c r="X13" s="5"/>
      <c r="Y13" s="5"/>
      <c r="Z13" s="5"/>
    </row>
    <row r="14">
      <c r="A14" s="10" t="s">
        <v>153</v>
      </c>
      <c r="B14" s="5"/>
      <c r="C14" s="5"/>
      <c r="D14" s="5"/>
      <c r="E14" s="5"/>
      <c r="F14" s="5"/>
      <c r="G14" s="5"/>
      <c r="H14" s="5"/>
      <c r="I14" s="5"/>
      <c r="J14" s="5"/>
      <c r="K14" s="5"/>
      <c r="L14" s="5"/>
      <c r="M14" s="5"/>
      <c r="N14" s="5"/>
      <c r="O14" s="5"/>
      <c r="P14" s="5"/>
      <c r="Q14" s="5"/>
      <c r="R14" s="5"/>
      <c r="S14" s="5"/>
      <c r="T14" s="5"/>
      <c r="U14" s="5"/>
      <c r="V14" s="5"/>
      <c r="W14" s="5"/>
      <c r="X14" s="5"/>
      <c r="Y14" s="5"/>
      <c r="Z14" s="5"/>
    </row>
    <row r="15">
      <c r="A15" s="21" t="s">
        <v>158</v>
      </c>
      <c r="B15" s="5"/>
      <c r="C15" s="5"/>
      <c r="D15" s="5"/>
      <c r="E15" s="5"/>
      <c r="F15" s="5"/>
      <c r="G15" s="5"/>
      <c r="H15" s="5"/>
      <c r="I15" s="5"/>
      <c r="J15" s="5"/>
      <c r="K15" s="5"/>
      <c r="L15" s="5"/>
      <c r="M15" s="5"/>
      <c r="N15" s="5"/>
      <c r="O15" s="5"/>
      <c r="P15" s="5"/>
      <c r="Q15" s="5"/>
      <c r="R15" s="5"/>
      <c r="S15" s="5"/>
      <c r="T15" s="5"/>
      <c r="U15" s="5"/>
      <c r="V15" s="5"/>
      <c r="W15" s="5"/>
      <c r="X15" s="5"/>
      <c r="Y15" s="5"/>
      <c r="Z15" s="5"/>
    </row>
    <row r="16">
      <c r="A16" s="9" t="s">
        <v>162</v>
      </c>
      <c r="B16" s="5"/>
      <c r="C16" s="5"/>
      <c r="D16" s="5"/>
      <c r="E16" s="5"/>
      <c r="F16" s="5"/>
      <c r="G16" s="5"/>
      <c r="H16" s="5"/>
      <c r="I16" s="5"/>
      <c r="J16" s="5"/>
      <c r="K16" s="5"/>
      <c r="L16" s="5"/>
      <c r="M16" s="5"/>
      <c r="N16" s="5"/>
      <c r="O16" s="5"/>
      <c r="P16" s="5"/>
      <c r="Q16" s="5"/>
      <c r="R16" s="5"/>
      <c r="S16" s="5"/>
      <c r="T16" s="5"/>
      <c r="U16" s="5"/>
      <c r="V16" s="5"/>
      <c r="W16" s="5"/>
      <c r="X16" s="5"/>
      <c r="Y16" s="5"/>
      <c r="Z16" s="5"/>
    </row>
    <row r="17">
      <c r="A17" s="10" t="s">
        <v>167</v>
      </c>
      <c r="B17" s="5"/>
      <c r="C17" s="5"/>
      <c r="D17" s="5"/>
      <c r="E17" s="5"/>
      <c r="F17" s="5"/>
      <c r="G17" s="5"/>
      <c r="H17" s="5"/>
      <c r="I17" s="5"/>
      <c r="J17" s="5"/>
      <c r="K17" s="5"/>
      <c r="L17" s="5"/>
      <c r="M17" s="5"/>
      <c r="N17" s="5"/>
      <c r="O17" s="5"/>
      <c r="P17" s="5"/>
      <c r="Q17" s="5"/>
      <c r="R17" s="5"/>
      <c r="S17" s="5"/>
      <c r="T17" s="5"/>
      <c r="U17" s="5"/>
      <c r="V17" s="5"/>
      <c r="W17" s="5"/>
      <c r="X17" s="5"/>
      <c r="Y17" s="5"/>
      <c r="Z17" s="5"/>
    </row>
    <row r="18">
      <c r="A18" s="10" t="s">
        <v>172</v>
      </c>
      <c r="B18" s="5"/>
      <c r="C18" s="5"/>
      <c r="D18" s="5"/>
      <c r="E18" s="5"/>
      <c r="F18" s="5"/>
      <c r="G18" s="5"/>
      <c r="H18" s="5"/>
      <c r="I18" s="5"/>
      <c r="J18" s="5"/>
      <c r="K18" s="5"/>
      <c r="L18" s="5"/>
      <c r="M18" s="5"/>
      <c r="N18" s="5"/>
      <c r="O18" s="5"/>
      <c r="P18" s="5"/>
      <c r="Q18" s="5"/>
      <c r="R18" s="5"/>
      <c r="S18" s="5"/>
      <c r="T18" s="5"/>
      <c r="U18" s="5"/>
      <c r="V18" s="5"/>
      <c r="W18" s="5"/>
      <c r="X18" s="5"/>
      <c r="Y18" s="5"/>
      <c r="Z18" s="5"/>
    </row>
    <row r="19">
      <c r="A19" s="10" t="s">
        <v>181</v>
      </c>
      <c r="B19" s="5"/>
      <c r="C19" s="5"/>
      <c r="D19" s="5"/>
      <c r="E19" s="5"/>
      <c r="F19" s="5"/>
      <c r="G19" s="5"/>
      <c r="H19" s="5"/>
      <c r="I19" s="5"/>
      <c r="J19" s="5"/>
      <c r="K19" s="5"/>
      <c r="L19" s="5"/>
      <c r="M19" s="5"/>
      <c r="N19" s="5"/>
      <c r="O19" s="5"/>
      <c r="P19" s="5"/>
      <c r="Q19" s="5"/>
      <c r="R19" s="5"/>
      <c r="S19" s="5"/>
      <c r="T19" s="5"/>
      <c r="U19" s="5"/>
      <c r="V19" s="5"/>
      <c r="W19" s="5"/>
      <c r="X19" s="5"/>
      <c r="Y19" s="5"/>
      <c r="Z19" s="5"/>
    </row>
    <row r="20">
      <c r="A20" s="10" t="s">
        <v>185</v>
      </c>
      <c r="B20" s="5"/>
      <c r="C20" s="5"/>
      <c r="D20" s="5"/>
      <c r="E20" s="5"/>
      <c r="F20" s="5"/>
      <c r="G20" s="5"/>
      <c r="H20" s="5"/>
      <c r="I20" s="5"/>
      <c r="J20" s="5"/>
      <c r="K20" s="5"/>
      <c r="L20" s="5"/>
      <c r="M20" s="5"/>
      <c r="N20" s="5"/>
      <c r="O20" s="5"/>
      <c r="P20" s="5"/>
      <c r="Q20" s="5"/>
      <c r="R20" s="5"/>
      <c r="S20" s="5"/>
      <c r="T20" s="5"/>
      <c r="U20" s="5"/>
      <c r="V20" s="5"/>
      <c r="W20" s="5"/>
      <c r="X20" s="5"/>
      <c r="Y20" s="5"/>
      <c r="Z20" s="5"/>
    </row>
    <row r="21" ht="15.75" customHeight="1">
      <c r="A21" s="10" t="s">
        <v>192</v>
      </c>
      <c r="B21" s="5"/>
      <c r="C21" s="5"/>
      <c r="D21" s="5"/>
      <c r="E21" s="5"/>
      <c r="F21" s="5"/>
      <c r="G21" s="5"/>
      <c r="H21" s="5"/>
      <c r="I21" s="5"/>
      <c r="J21" s="5"/>
      <c r="K21" s="5"/>
      <c r="L21" s="5"/>
      <c r="M21" s="5"/>
      <c r="N21" s="5"/>
      <c r="O21" s="5"/>
      <c r="P21" s="5"/>
      <c r="Q21" s="5"/>
      <c r="R21" s="5"/>
      <c r="S21" s="5"/>
      <c r="T21" s="5"/>
      <c r="U21" s="5"/>
      <c r="V21" s="5"/>
      <c r="W21" s="5"/>
      <c r="X21" s="5"/>
      <c r="Y21" s="5"/>
      <c r="Z21" s="5"/>
    </row>
    <row r="22" ht="15.75" customHeight="1">
      <c r="A22" s="5"/>
      <c r="B22" s="5"/>
      <c r="C22" s="5"/>
      <c r="D22" s="5"/>
      <c r="E22" s="5"/>
      <c r="F22" s="5"/>
      <c r="G22" s="5"/>
      <c r="H22" s="5"/>
      <c r="I22" s="5"/>
      <c r="J22" s="5"/>
      <c r="K22" s="5"/>
      <c r="L22" s="5"/>
      <c r="M22" s="5"/>
      <c r="N22" s="5"/>
      <c r="O22" s="5"/>
      <c r="P22" s="5"/>
      <c r="Q22" s="5"/>
      <c r="R22" s="5"/>
      <c r="S22" s="5"/>
      <c r="T22" s="5"/>
      <c r="U22" s="5"/>
      <c r="V22" s="5"/>
      <c r="W22" s="5"/>
      <c r="X22" s="5"/>
      <c r="Y22" s="5"/>
      <c r="Z22" s="5"/>
    </row>
    <row r="23" ht="15.75" customHeight="1">
      <c r="A23" s="9" t="s">
        <v>204</v>
      </c>
      <c r="B23" s="5"/>
      <c r="C23" s="5"/>
      <c r="D23" s="5"/>
      <c r="E23" s="5"/>
      <c r="F23" s="5"/>
      <c r="G23" s="5"/>
      <c r="H23" s="5"/>
      <c r="I23" s="5"/>
      <c r="J23" s="5"/>
      <c r="K23" s="5"/>
      <c r="L23" s="5"/>
      <c r="M23" s="5"/>
      <c r="N23" s="5"/>
      <c r="O23" s="5"/>
      <c r="P23" s="5"/>
      <c r="Q23" s="5"/>
      <c r="R23" s="5"/>
      <c r="S23" s="5"/>
      <c r="T23" s="5"/>
      <c r="U23" s="5"/>
      <c r="V23" s="5"/>
      <c r="W23" s="5"/>
      <c r="X23" s="5"/>
      <c r="Y23" s="5"/>
      <c r="Z23" s="5"/>
    </row>
    <row r="24" ht="15.75" customHeight="1">
      <c r="A24" s="10" t="s">
        <v>212</v>
      </c>
      <c r="B24" s="5"/>
      <c r="C24" s="5"/>
      <c r="D24" s="5"/>
      <c r="E24" s="5"/>
      <c r="F24" s="5"/>
      <c r="G24" s="5"/>
      <c r="H24" s="5"/>
      <c r="I24" s="5"/>
      <c r="J24" s="5"/>
      <c r="K24" s="5"/>
      <c r="L24" s="5"/>
      <c r="M24" s="5"/>
      <c r="N24" s="5"/>
      <c r="O24" s="5"/>
      <c r="P24" s="5"/>
      <c r="Q24" s="5"/>
      <c r="R24" s="5"/>
      <c r="S24" s="5"/>
      <c r="T24" s="5"/>
      <c r="U24" s="5"/>
      <c r="V24" s="5"/>
      <c r="W24" s="5"/>
      <c r="X24" s="5"/>
      <c r="Y24" s="5"/>
      <c r="Z24" s="5"/>
    </row>
    <row r="25" ht="15.75" customHeight="1">
      <c r="A25" s="10" t="s">
        <v>219</v>
      </c>
      <c r="B25" s="5"/>
      <c r="C25" s="5"/>
      <c r="D25" s="5"/>
      <c r="E25" s="5"/>
      <c r="F25" s="5"/>
      <c r="G25" s="5"/>
      <c r="H25" s="5"/>
      <c r="I25" s="5"/>
      <c r="J25" s="5"/>
      <c r="K25" s="5"/>
      <c r="L25" s="5"/>
      <c r="M25" s="5"/>
      <c r="N25" s="5"/>
      <c r="O25" s="5"/>
      <c r="P25" s="5"/>
      <c r="Q25" s="5"/>
      <c r="R25" s="5"/>
      <c r="S25" s="5"/>
      <c r="T25" s="5"/>
      <c r="U25" s="5"/>
      <c r="V25" s="5"/>
      <c r="W25" s="5"/>
      <c r="X25" s="5"/>
      <c r="Y25" s="5"/>
      <c r="Z25" s="5"/>
    </row>
    <row r="26" ht="15.75" customHeight="1">
      <c r="A26" s="10" t="s">
        <v>230</v>
      </c>
      <c r="B26" s="5"/>
      <c r="C26" s="5"/>
      <c r="D26" s="5"/>
      <c r="E26" s="5"/>
      <c r="F26" s="5"/>
      <c r="G26" s="5"/>
      <c r="H26" s="5"/>
      <c r="I26" s="5"/>
      <c r="J26" s="5"/>
      <c r="K26" s="5"/>
      <c r="L26" s="5"/>
      <c r="M26" s="5"/>
      <c r="N26" s="5"/>
      <c r="O26" s="5"/>
      <c r="P26" s="5"/>
      <c r="Q26" s="5"/>
      <c r="R26" s="5"/>
      <c r="S26" s="5"/>
      <c r="T26" s="5"/>
      <c r="U26" s="5"/>
      <c r="V26" s="5"/>
      <c r="W26" s="5"/>
      <c r="X26" s="5"/>
      <c r="Y26" s="5"/>
      <c r="Z26" s="5"/>
    </row>
    <row r="27" ht="15.75" customHeight="1">
      <c r="A27" s="10" t="s">
        <v>238</v>
      </c>
      <c r="B27" s="5"/>
      <c r="C27" s="5"/>
      <c r="D27" s="5"/>
      <c r="E27" s="5"/>
      <c r="F27" s="5"/>
      <c r="G27" s="5"/>
      <c r="H27" s="5"/>
      <c r="I27" s="5"/>
      <c r="J27" s="5"/>
      <c r="K27" s="5"/>
      <c r="L27" s="5"/>
      <c r="M27" s="5"/>
      <c r="N27" s="5"/>
      <c r="O27" s="5"/>
      <c r="P27" s="5"/>
      <c r="Q27" s="5"/>
      <c r="R27" s="5"/>
      <c r="S27" s="5"/>
      <c r="T27" s="5"/>
      <c r="U27" s="5"/>
      <c r="V27" s="5"/>
      <c r="W27" s="5"/>
      <c r="X27" s="5"/>
      <c r="Y27" s="5"/>
      <c r="Z27" s="5"/>
    </row>
    <row r="28" ht="15.75" customHeight="1">
      <c r="A28" s="5"/>
      <c r="B28" s="5"/>
      <c r="C28" s="5"/>
      <c r="D28" s="5"/>
      <c r="E28" s="5"/>
      <c r="F28" s="5"/>
      <c r="G28" s="5"/>
      <c r="H28" s="5"/>
      <c r="I28" s="5"/>
      <c r="J28" s="5"/>
      <c r="K28" s="5"/>
      <c r="L28" s="5"/>
      <c r="M28" s="5"/>
      <c r="N28" s="5"/>
      <c r="O28" s="5"/>
      <c r="P28" s="5"/>
      <c r="Q28" s="5"/>
      <c r="R28" s="5"/>
      <c r="S28" s="5"/>
      <c r="T28" s="5"/>
      <c r="U28" s="5"/>
      <c r="V28" s="5"/>
      <c r="W28" s="5"/>
      <c r="X28" s="5"/>
      <c r="Y28" s="5"/>
      <c r="Z28" s="5"/>
    </row>
    <row r="29" ht="15.75" customHeight="1">
      <c r="A29" s="35" t="s">
        <v>259</v>
      </c>
      <c r="B29" s="5"/>
      <c r="C29" s="5"/>
      <c r="D29" s="5"/>
      <c r="E29" s="5"/>
      <c r="F29" s="5"/>
      <c r="G29" s="5"/>
      <c r="H29" s="5"/>
      <c r="I29" s="5"/>
      <c r="J29" s="5"/>
      <c r="K29" s="5"/>
      <c r="L29" s="5"/>
      <c r="M29" s="5"/>
      <c r="N29" s="5"/>
      <c r="O29" s="5"/>
      <c r="P29" s="5"/>
      <c r="Q29" s="5"/>
      <c r="R29" s="5"/>
      <c r="S29" s="5"/>
      <c r="T29" s="5"/>
      <c r="U29" s="5"/>
      <c r="V29" s="5"/>
      <c r="W29" s="5"/>
      <c r="X29" s="5"/>
      <c r="Y29" s="5"/>
      <c r="Z29" s="5"/>
    </row>
    <row r="30" ht="15.75" customHeight="1">
      <c r="A30" s="35" t="s">
        <v>271</v>
      </c>
      <c r="B30" s="5"/>
      <c r="C30" s="5"/>
      <c r="D30" s="5"/>
      <c r="E30" s="5"/>
      <c r="F30" s="5"/>
      <c r="G30" s="5"/>
      <c r="H30" s="5"/>
      <c r="I30" s="5"/>
      <c r="J30" s="5"/>
      <c r="K30" s="5"/>
      <c r="L30" s="5"/>
      <c r="M30" s="5"/>
      <c r="N30" s="5"/>
      <c r="O30" s="5"/>
      <c r="P30" s="5"/>
      <c r="Q30" s="5"/>
      <c r="R30" s="5"/>
      <c r="S30" s="5"/>
      <c r="T30" s="5"/>
      <c r="U30" s="5"/>
      <c r="V30" s="5"/>
      <c r="W30" s="5"/>
      <c r="X30" s="5"/>
      <c r="Y30" s="5"/>
      <c r="Z30" s="5"/>
    </row>
    <row r="31" ht="15.75" customHeight="1">
      <c r="A31" s="21" t="s">
        <v>277</v>
      </c>
      <c r="B31" s="5"/>
      <c r="C31" s="5"/>
      <c r="D31" s="5"/>
      <c r="E31" s="5"/>
      <c r="F31" s="5"/>
      <c r="G31" s="5"/>
      <c r="H31" s="5"/>
      <c r="I31" s="5"/>
      <c r="J31" s="5"/>
      <c r="K31" s="5"/>
      <c r="L31" s="5"/>
      <c r="M31" s="5"/>
      <c r="N31" s="5"/>
      <c r="O31" s="5"/>
      <c r="P31" s="5"/>
      <c r="Q31" s="5"/>
      <c r="R31" s="5"/>
      <c r="S31" s="5"/>
      <c r="T31" s="5"/>
      <c r="U31" s="5"/>
      <c r="V31" s="5"/>
      <c r="W31" s="5"/>
      <c r="X31" s="5"/>
      <c r="Y31" s="5"/>
      <c r="Z31" s="5"/>
    </row>
    <row r="32" ht="15.75" customHeight="1">
      <c r="A32" s="5"/>
      <c r="B32" s="5"/>
      <c r="C32" s="5"/>
      <c r="D32" s="5"/>
      <c r="E32" s="5"/>
      <c r="F32" s="5"/>
      <c r="G32" s="5"/>
      <c r="H32" s="5"/>
      <c r="I32" s="5"/>
      <c r="J32" s="5"/>
      <c r="K32" s="5"/>
      <c r="L32" s="5"/>
      <c r="M32" s="5"/>
      <c r="N32" s="5"/>
      <c r="O32" s="5"/>
      <c r="P32" s="5"/>
      <c r="Q32" s="5"/>
      <c r="R32" s="5"/>
      <c r="S32" s="5"/>
      <c r="T32" s="5"/>
      <c r="U32" s="5"/>
      <c r="V32" s="5"/>
      <c r="W32" s="5"/>
      <c r="X32" s="5"/>
      <c r="Y32" s="5"/>
      <c r="Z32" s="5"/>
    </row>
    <row r="33" ht="15.75" customHeight="1">
      <c r="A33" s="21" t="s">
        <v>286</v>
      </c>
      <c r="B33" s="5"/>
      <c r="C33" s="5"/>
      <c r="D33" s="5"/>
      <c r="E33" s="5"/>
      <c r="F33" s="5"/>
      <c r="G33" s="5"/>
      <c r="H33" s="5"/>
      <c r="I33" s="5"/>
      <c r="J33" s="5"/>
      <c r="K33" s="5"/>
      <c r="L33" s="5"/>
      <c r="M33" s="5"/>
      <c r="N33" s="5"/>
      <c r="O33" s="5"/>
      <c r="P33" s="5"/>
      <c r="Q33" s="5"/>
      <c r="R33" s="5"/>
      <c r="S33" s="5"/>
      <c r="T33" s="5"/>
      <c r="U33" s="5"/>
      <c r="V33" s="5"/>
      <c r="W33" s="5"/>
      <c r="X33" s="5"/>
      <c r="Y33" s="5"/>
      <c r="Z33" s="5"/>
    </row>
    <row r="34" ht="15.75" customHeight="1">
      <c r="A34" s="21" t="s">
        <v>300</v>
      </c>
      <c r="B34" s="5"/>
      <c r="C34" s="5"/>
      <c r="D34" s="5"/>
      <c r="E34" s="5"/>
      <c r="F34" s="5"/>
      <c r="G34" s="5"/>
      <c r="H34" s="5"/>
      <c r="I34" s="5"/>
      <c r="J34" s="5"/>
      <c r="K34" s="5"/>
      <c r="L34" s="5"/>
      <c r="M34" s="5"/>
      <c r="N34" s="5"/>
      <c r="O34" s="5"/>
      <c r="P34" s="5"/>
      <c r="Q34" s="5"/>
      <c r="R34" s="5"/>
      <c r="S34" s="5"/>
      <c r="T34" s="5"/>
      <c r="U34" s="5"/>
      <c r="V34" s="5"/>
      <c r="W34" s="5"/>
      <c r="X34" s="5"/>
      <c r="Y34" s="5"/>
      <c r="Z34" s="5"/>
    </row>
    <row r="35" ht="15.75" customHeight="1">
      <c r="A35" s="21" t="s">
        <v>307</v>
      </c>
      <c r="B35" s="5"/>
      <c r="C35" s="5"/>
      <c r="D35" s="5"/>
      <c r="E35" s="5"/>
      <c r="F35" s="5"/>
      <c r="G35" s="5"/>
      <c r="H35" s="5"/>
      <c r="I35" s="5"/>
      <c r="J35" s="5"/>
      <c r="K35" s="5"/>
      <c r="L35" s="5"/>
      <c r="M35" s="5"/>
      <c r="N35" s="5"/>
      <c r="O35" s="5"/>
      <c r="P35" s="5"/>
      <c r="Q35" s="5"/>
      <c r="R35" s="5"/>
      <c r="S35" s="5"/>
      <c r="T35" s="5"/>
      <c r="U35" s="5"/>
      <c r="V35" s="5"/>
      <c r="W35" s="5"/>
      <c r="X35" s="5"/>
      <c r="Y35" s="5"/>
      <c r="Z35" s="5"/>
    </row>
    <row r="36" ht="15.75" customHeight="1">
      <c r="A36" s="21" t="s">
        <v>312</v>
      </c>
      <c r="B36" s="5"/>
      <c r="C36" s="5"/>
      <c r="D36" s="5"/>
      <c r="E36" s="5"/>
      <c r="F36" s="5"/>
      <c r="G36" s="5"/>
      <c r="H36" s="5"/>
      <c r="I36" s="5"/>
      <c r="J36" s="5"/>
      <c r="K36" s="5"/>
      <c r="L36" s="5"/>
      <c r="M36" s="5"/>
      <c r="N36" s="5"/>
      <c r="O36" s="5"/>
      <c r="P36" s="5"/>
      <c r="Q36" s="5"/>
      <c r="R36" s="5"/>
      <c r="S36" s="5"/>
      <c r="T36" s="5"/>
      <c r="U36" s="5"/>
      <c r="V36" s="5"/>
      <c r="W36" s="5"/>
      <c r="X36" s="5"/>
      <c r="Y36" s="5"/>
      <c r="Z36" s="5"/>
    </row>
    <row r="37" ht="15.75" customHeight="1">
      <c r="A37" s="5"/>
      <c r="B37" s="5"/>
      <c r="C37" s="5"/>
      <c r="D37" s="5"/>
      <c r="E37" s="5"/>
      <c r="F37" s="5"/>
      <c r="G37" s="5"/>
      <c r="H37" s="5"/>
      <c r="I37" s="5"/>
      <c r="J37" s="5"/>
      <c r="K37" s="5"/>
      <c r="L37" s="5"/>
      <c r="M37" s="5"/>
      <c r="N37" s="5"/>
      <c r="O37" s="5"/>
      <c r="P37" s="5"/>
      <c r="Q37" s="5"/>
      <c r="R37" s="5"/>
      <c r="S37" s="5"/>
      <c r="T37" s="5"/>
      <c r="U37" s="5"/>
      <c r="V37" s="5"/>
      <c r="W37" s="5"/>
      <c r="X37" s="5"/>
      <c r="Y37" s="5"/>
      <c r="Z37" s="5"/>
    </row>
    <row r="38" ht="15.75" customHeight="1">
      <c r="A38" s="5"/>
      <c r="B38" s="5"/>
      <c r="C38" s="5"/>
      <c r="D38" s="5"/>
      <c r="E38" s="5"/>
      <c r="F38" s="5"/>
      <c r="G38" s="5"/>
      <c r="H38" s="5"/>
      <c r="I38" s="5"/>
      <c r="J38" s="5"/>
      <c r="K38" s="5"/>
      <c r="L38" s="5"/>
      <c r="M38" s="5"/>
      <c r="N38" s="5"/>
      <c r="O38" s="5"/>
      <c r="P38" s="5"/>
      <c r="Q38" s="5"/>
      <c r="R38" s="5"/>
      <c r="S38" s="5"/>
      <c r="T38" s="5"/>
      <c r="U38" s="5"/>
      <c r="V38" s="5"/>
      <c r="W38" s="5"/>
      <c r="X38" s="5"/>
      <c r="Y38" s="5"/>
      <c r="Z38" s="5"/>
    </row>
    <row r="39" ht="15.75" customHeight="1">
      <c r="A39" s="5"/>
      <c r="B39" s="5"/>
      <c r="C39" s="5"/>
      <c r="D39" s="5"/>
      <c r="E39" s="5"/>
      <c r="F39" s="5"/>
      <c r="G39" s="5"/>
      <c r="H39" s="5"/>
      <c r="I39" s="5"/>
      <c r="J39" s="5"/>
      <c r="K39" s="5"/>
      <c r="L39" s="5"/>
      <c r="M39" s="5"/>
      <c r="N39" s="5"/>
      <c r="O39" s="5"/>
      <c r="P39" s="5"/>
      <c r="Q39" s="5"/>
      <c r="R39" s="5"/>
      <c r="S39" s="5"/>
      <c r="T39" s="5"/>
      <c r="U39" s="5"/>
      <c r="V39" s="5"/>
      <c r="W39" s="5"/>
      <c r="X39" s="5"/>
      <c r="Y39" s="5"/>
      <c r="Z39" s="5"/>
    </row>
    <row r="40" ht="15.75" customHeight="1">
      <c r="A40" s="5"/>
      <c r="B40" s="5"/>
      <c r="C40" s="5"/>
      <c r="D40" s="5"/>
      <c r="E40" s="5"/>
      <c r="F40" s="5"/>
      <c r="G40" s="5"/>
      <c r="H40" s="5"/>
      <c r="I40" s="5"/>
      <c r="J40" s="5"/>
      <c r="K40" s="5"/>
      <c r="L40" s="5"/>
      <c r="M40" s="5"/>
      <c r="N40" s="5"/>
      <c r="O40" s="5"/>
      <c r="P40" s="5"/>
      <c r="Q40" s="5"/>
      <c r="R40" s="5"/>
      <c r="S40" s="5"/>
      <c r="T40" s="5"/>
      <c r="U40" s="5"/>
      <c r="V40" s="5"/>
      <c r="W40" s="5"/>
      <c r="X40" s="5"/>
      <c r="Y40" s="5"/>
      <c r="Z40" s="5"/>
    </row>
    <row r="41" ht="15.75" customHeight="1">
      <c r="A41" s="5"/>
      <c r="B41" s="5"/>
      <c r="C41" s="5"/>
      <c r="D41" s="5"/>
      <c r="E41" s="5"/>
      <c r="F41" s="5"/>
      <c r="G41" s="5"/>
      <c r="H41" s="5"/>
      <c r="I41" s="5"/>
      <c r="J41" s="5"/>
      <c r="K41" s="5"/>
      <c r="L41" s="5"/>
      <c r="M41" s="5"/>
      <c r="N41" s="5"/>
      <c r="O41" s="5"/>
      <c r="P41" s="5"/>
      <c r="Q41" s="5"/>
      <c r="R41" s="5"/>
      <c r="S41" s="5"/>
      <c r="T41" s="5"/>
      <c r="U41" s="5"/>
      <c r="V41" s="5"/>
      <c r="W41" s="5"/>
      <c r="X41" s="5"/>
      <c r="Y41" s="5"/>
      <c r="Z41" s="5"/>
    </row>
    <row r="42" ht="15.75" customHeight="1">
      <c r="A42" s="5"/>
      <c r="B42" s="5"/>
      <c r="C42" s="5"/>
      <c r="D42" s="5"/>
      <c r="E42" s="5"/>
      <c r="F42" s="5"/>
      <c r="G42" s="5"/>
      <c r="H42" s="5"/>
      <c r="I42" s="5"/>
      <c r="J42" s="5"/>
      <c r="K42" s="5"/>
      <c r="L42" s="5"/>
      <c r="M42" s="5"/>
      <c r="N42" s="5"/>
      <c r="O42" s="5"/>
      <c r="P42" s="5"/>
      <c r="Q42" s="5"/>
      <c r="R42" s="5"/>
      <c r="S42" s="5"/>
      <c r="T42" s="5"/>
      <c r="U42" s="5"/>
      <c r="V42" s="5"/>
      <c r="W42" s="5"/>
      <c r="X42" s="5"/>
      <c r="Y42" s="5"/>
      <c r="Z42" s="5"/>
    </row>
    <row r="43" ht="15.75" customHeight="1">
      <c r="A43" s="5"/>
      <c r="B43" s="5"/>
      <c r="C43" s="5"/>
      <c r="D43" s="5"/>
      <c r="E43" s="5"/>
      <c r="F43" s="5"/>
      <c r="G43" s="5"/>
      <c r="H43" s="5"/>
      <c r="I43" s="5"/>
      <c r="J43" s="5"/>
      <c r="K43" s="5"/>
      <c r="L43" s="5"/>
      <c r="M43" s="5"/>
      <c r="N43" s="5"/>
      <c r="O43" s="5"/>
      <c r="P43" s="5"/>
      <c r="Q43" s="5"/>
      <c r="R43" s="5"/>
      <c r="S43" s="5"/>
      <c r="T43" s="5"/>
      <c r="U43" s="5"/>
      <c r="V43" s="5"/>
      <c r="W43" s="5"/>
      <c r="X43" s="5"/>
      <c r="Y43" s="5"/>
      <c r="Z43" s="5"/>
    </row>
    <row r="44" ht="15.75" customHeight="1">
      <c r="A44" s="5"/>
      <c r="B44" s="5"/>
      <c r="C44" s="5"/>
      <c r="D44" s="5"/>
      <c r="E44" s="5"/>
      <c r="F44" s="5"/>
      <c r="G44" s="5"/>
      <c r="H44" s="5"/>
      <c r="I44" s="5"/>
      <c r="J44" s="5"/>
      <c r="K44" s="5"/>
      <c r="L44" s="5"/>
      <c r="M44" s="5"/>
      <c r="N44" s="5"/>
      <c r="O44" s="5"/>
      <c r="P44" s="5"/>
      <c r="Q44" s="5"/>
      <c r="R44" s="5"/>
      <c r="S44" s="5"/>
      <c r="T44" s="5"/>
      <c r="U44" s="5"/>
      <c r="V44" s="5"/>
      <c r="W44" s="5"/>
      <c r="X44" s="5"/>
      <c r="Y44" s="5"/>
      <c r="Z44" s="5"/>
    </row>
    <row r="45" ht="15.75" customHeight="1">
      <c r="A45" s="5"/>
      <c r="B45" s="5"/>
      <c r="C45" s="5"/>
      <c r="D45" s="5"/>
      <c r="E45" s="5"/>
      <c r="F45" s="5"/>
      <c r="G45" s="5"/>
      <c r="H45" s="5"/>
      <c r="I45" s="5"/>
      <c r="J45" s="5"/>
      <c r="K45" s="5"/>
      <c r="L45" s="5"/>
      <c r="M45" s="5"/>
      <c r="N45" s="5"/>
      <c r="O45" s="5"/>
      <c r="P45" s="5"/>
      <c r="Q45" s="5"/>
      <c r="R45" s="5"/>
      <c r="S45" s="5"/>
      <c r="T45" s="5"/>
      <c r="U45" s="5"/>
      <c r="V45" s="5"/>
      <c r="W45" s="5"/>
      <c r="X45" s="5"/>
      <c r="Y45" s="5"/>
      <c r="Z45" s="5"/>
    </row>
    <row r="46" ht="15.75" customHeight="1">
      <c r="A46" s="5"/>
      <c r="B46" s="5"/>
      <c r="C46" s="5"/>
      <c r="D46" s="5"/>
      <c r="E46" s="5"/>
      <c r="F46" s="5"/>
      <c r="G46" s="5"/>
      <c r="H46" s="5"/>
      <c r="I46" s="5"/>
      <c r="J46" s="5"/>
      <c r="K46" s="5"/>
      <c r="L46" s="5"/>
      <c r="M46" s="5"/>
      <c r="N46" s="5"/>
      <c r="O46" s="5"/>
      <c r="P46" s="5"/>
      <c r="Q46" s="5"/>
      <c r="R46" s="5"/>
      <c r="S46" s="5"/>
      <c r="T46" s="5"/>
      <c r="U46" s="5"/>
      <c r="V46" s="5"/>
      <c r="W46" s="5"/>
      <c r="X46" s="5"/>
      <c r="Y46" s="5"/>
      <c r="Z46" s="5"/>
    </row>
    <row r="47" ht="15.75" customHeight="1">
      <c r="A47" s="5"/>
      <c r="B47" s="5"/>
      <c r="C47" s="5"/>
      <c r="D47" s="5"/>
      <c r="E47" s="5"/>
      <c r="F47" s="5"/>
      <c r="G47" s="5"/>
      <c r="H47" s="5"/>
      <c r="I47" s="5"/>
      <c r="J47" s="5"/>
      <c r="K47" s="5"/>
      <c r="L47" s="5"/>
      <c r="M47" s="5"/>
      <c r="N47" s="5"/>
      <c r="O47" s="5"/>
      <c r="P47" s="5"/>
      <c r="Q47" s="5"/>
      <c r="R47" s="5"/>
      <c r="S47" s="5"/>
      <c r="T47" s="5"/>
      <c r="U47" s="5"/>
      <c r="V47" s="5"/>
      <c r="W47" s="5"/>
      <c r="X47" s="5"/>
      <c r="Y47" s="5"/>
      <c r="Z47" s="5"/>
    </row>
    <row r="48" ht="15.75" customHeight="1">
      <c r="A48" s="5"/>
      <c r="B48" s="5"/>
      <c r="C48" s="5"/>
      <c r="D48" s="5"/>
      <c r="E48" s="5"/>
      <c r="F48" s="5"/>
      <c r="G48" s="5"/>
      <c r="H48" s="5"/>
      <c r="I48" s="5"/>
      <c r="J48" s="5"/>
      <c r="K48" s="5"/>
      <c r="L48" s="5"/>
      <c r="M48" s="5"/>
      <c r="N48" s="5"/>
      <c r="O48" s="5"/>
      <c r="P48" s="5"/>
      <c r="Q48" s="5"/>
      <c r="R48" s="5"/>
      <c r="S48" s="5"/>
      <c r="T48" s="5"/>
      <c r="U48" s="5"/>
      <c r="V48" s="5"/>
      <c r="W48" s="5"/>
      <c r="X48" s="5"/>
      <c r="Y48" s="5"/>
      <c r="Z48" s="5"/>
    </row>
    <row r="49" ht="15.75" customHeight="1">
      <c r="A49" s="5"/>
      <c r="B49" s="5"/>
      <c r="C49" s="5"/>
      <c r="D49" s="5"/>
      <c r="E49" s="5"/>
      <c r="F49" s="5"/>
      <c r="G49" s="5"/>
      <c r="H49" s="5"/>
      <c r="I49" s="5"/>
      <c r="J49" s="5"/>
      <c r="K49" s="5"/>
      <c r="L49" s="5"/>
      <c r="M49" s="5"/>
      <c r="N49" s="5"/>
      <c r="O49" s="5"/>
      <c r="P49" s="5"/>
      <c r="Q49" s="5"/>
      <c r="R49" s="5"/>
      <c r="S49" s="5"/>
      <c r="T49" s="5"/>
      <c r="U49" s="5"/>
      <c r="V49" s="5"/>
      <c r="W49" s="5"/>
      <c r="X49" s="5"/>
      <c r="Y49" s="5"/>
      <c r="Z49" s="5"/>
    </row>
    <row r="50" ht="15.75" customHeight="1">
      <c r="A50" s="5"/>
      <c r="B50" s="5"/>
      <c r="C50" s="5"/>
      <c r="D50" s="5"/>
      <c r="E50" s="5"/>
      <c r="F50" s="5"/>
      <c r="G50" s="5"/>
      <c r="H50" s="5"/>
      <c r="I50" s="5"/>
      <c r="J50" s="5"/>
      <c r="K50" s="5"/>
      <c r="L50" s="5"/>
      <c r="M50" s="5"/>
      <c r="N50" s="5"/>
      <c r="O50" s="5"/>
      <c r="P50" s="5"/>
      <c r="Q50" s="5"/>
      <c r="R50" s="5"/>
      <c r="S50" s="5"/>
      <c r="T50" s="5"/>
      <c r="U50" s="5"/>
      <c r="V50" s="5"/>
      <c r="W50" s="5"/>
      <c r="X50" s="5"/>
      <c r="Y50" s="5"/>
      <c r="Z50" s="5"/>
    </row>
    <row r="51" ht="15.75" customHeight="1">
      <c r="A51" s="5"/>
      <c r="B51" s="5"/>
      <c r="C51" s="5"/>
      <c r="D51" s="5"/>
      <c r="E51" s="5"/>
      <c r="F51" s="5"/>
      <c r="G51" s="5"/>
      <c r="H51" s="5"/>
      <c r="I51" s="5"/>
      <c r="J51" s="5"/>
      <c r="K51" s="5"/>
      <c r="L51" s="5"/>
      <c r="M51" s="5"/>
      <c r="N51" s="5"/>
      <c r="O51" s="5"/>
      <c r="P51" s="5"/>
      <c r="Q51" s="5"/>
      <c r="R51" s="5"/>
      <c r="S51" s="5"/>
      <c r="T51" s="5"/>
      <c r="U51" s="5"/>
      <c r="V51" s="5"/>
      <c r="W51" s="5"/>
      <c r="X51" s="5"/>
      <c r="Y51" s="5"/>
      <c r="Z51" s="5"/>
    </row>
    <row r="52" ht="15.75" customHeight="1">
      <c r="A52" s="5"/>
      <c r="B52" s="5"/>
      <c r="C52" s="5"/>
      <c r="D52" s="5"/>
      <c r="E52" s="5"/>
      <c r="F52" s="5"/>
      <c r="G52" s="5"/>
      <c r="H52" s="5"/>
      <c r="I52" s="5"/>
      <c r="J52" s="5"/>
      <c r="K52" s="5"/>
      <c r="L52" s="5"/>
      <c r="M52" s="5"/>
      <c r="N52" s="5"/>
      <c r="O52" s="5"/>
      <c r="P52" s="5"/>
      <c r="Q52" s="5"/>
      <c r="R52" s="5"/>
      <c r="S52" s="5"/>
      <c r="T52" s="5"/>
      <c r="U52" s="5"/>
      <c r="V52" s="5"/>
      <c r="W52" s="5"/>
      <c r="X52" s="5"/>
      <c r="Y52" s="5"/>
      <c r="Z52" s="5"/>
    </row>
    <row r="53" ht="15.75" customHeight="1">
      <c r="A53" s="5"/>
      <c r="B53" s="5"/>
      <c r="C53" s="5"/>
      <c r="D53" s="5"/>
      <c r="E53" s="5"/>
      <c r="F53" s="5"/>
      <c r="G53" s="5"/>
      <c r="H53" s="5"/>
      <c r="I53" s="5"/>
      <c r="J53" s="5"/>
      <c r="K53" s="5"/>
      <c r="L53" s="5"/>
      <c r="M53" s="5"/>
      <c r="N53" s="5"/>
      <c r="O53" s="5"/>
      <c r="P53" s="5"/>
      <c r="Q53" s="5"/>
      <c r="R53" s="5"/>
      <c r="S53" s="5"/>
      <c r="T53" s="5"/>
      <c r="U53" s="5"/>
      <c r="V53" s="5"/>
      <c r="W53" s="5"/>
      <c r="X53" s="5"/>
      <c r="Y53" s="5"/>
      <c r="Z53" s="5"/>
    </row>
    <row r="54" ht="15.75" customHeight="1">
      <c r="A54" s="5"/>
      <c r="B54" s="5"/>
      <c r="C54" s="5"/>
      <c r="D54" s="5"/>
      <c r="E54" s="5"/>
      <c r="F54" s="5"/>
      <c r="G54" s="5"/>
      <c r="H54" s="5"/>
      <c r="I54" s="5"/>
      <c r="J54" s="5"/>
      <c r="K54" s="5"/>
      <c r="L54" s="5"/>
      <c r="M54" s="5"/>
      <c r="N54" s="5"/>
      <c r="O54" s="5"/>
      <c r="P54" s="5"/>
      <c r="Q54" s="5"/>
      <c r="R54" s="5"/>
      <c r="S54" s="5"/>
      <c r="T54" s="5"/>
      <c r="U54" s="5"/>
      <c r="V54" s="5"/>
      <c r="W54" s="5"/>
      <c r="X54" s="5"/>
      <c r="Y54" s="5"/>
      <c r="Z54" s="5"/>
    </row>
    <row r="55" ht="15.75" customHeight="1">
      <c r="A55" s="5"/>
      <c r="B55" s="5"/>
      <c r="C55" s="5"/>
      <c r="D55" s="5"/>
      <c r="E55" s="5"/>
      <c r="F55" s="5"/>
      <c r="G55" s="5"/>
      <c r="H55" s="5"/>
      <c r="I55" s="5"/>
      <c r="J55" s="5"/>
      <c r="K55" s="5"/>
      <c r="L55" s="5"/>
      <c r="M55" s="5"/>
      <c r="N55" s="5"/>
      <c r="O55" s="5"/>
      <c r="P55" s="5"/>
      <c r="Q55" s="5"/>
      <c r="R55" s="5"/>
      <c r="S55" s="5"/>
      <c r="T55" s="5"/>
      <c r="U55" s="5"/>
      <c r="V55" s="5"/>
      <c r="W55" s="5"/>
      <c r="X55" s="5"/>
      <c r="Y55" s="5"/>
      <c r="Z55" s="5"/>
    </row>
    <row r="56" ht="15.75" customHeight="1">
      <c r="A56" s="5"/>
      <c r="B56" s="5"/>
      <c r="C56" s="5"/>
      <c r="D56" s="5"/>
      <c r="E56" s="5"/>
      <c r="F56" s="5"/>
      <c r="G56" s="5"/>
      <c r="H56" s="5"/>
      <c r="I56" s="5"/>
      <c r="J56" s="5"/>
      <c r="K56" s="5"/>
      <c r="L56" s="5"/>
      <c r="M56" s="5"/>
      <c r="N56" s="5"/>
      <c r="O56" s="5"/>
      <c r="P56" s="5"/>
      <c r="Q56" s="5"/>
      <c r="R56" s="5"/>
      <c r="S56" s="5"/>
      <c r="T56" s="5"/>
      <c r="U56" s="5"/>
      <c r="V56" s="5"/>
      <c r="W56" s="5"/>
      <c r="X56" s="5"/>
      <c r="Y56" s="5"/>
      <c r="Z56" s="5"/>
    </row>
    <row r="57" ht="15.75" customHeight="1">
      <c r="A57" s="5"/>
      <c r="B57" s="5"/>
      <c r="C57" s="5"/>
      <c r="D57" s="5"/>
      <c r="E57" s="5"/>
      <c r="F57" s="5"/>
      <c r="G57" s="5"/>
      <c r="H57" s="5"/>
      <c r="I57" s="5"/>
      <c r="J57" s="5"/>
      <c r="K57" s="5"/>
      <c r="L57" s="5"/>
      <c r="M57" s="5"/>
      <c r="N57" s="5"/>
      <c r="O57" s="5"/>
      <c r="P57" s="5"/>
      <c r="Q57" s="5"/>
      <c r="R57" s="5"/>
      <c r="S57" s="5"/>
      <c r="T57" s="5"/>
      <c r="U57" s="5"/>
      <c r="V57" s="5"/>
      <c r="W57" s="5"/>
      <c r="X57" s="5"/>
      <c r="Y57" s="5"/>
      <c r="Z57" s="5"/>
    </row>
    <row r="58" ht="15.75" customHeight="1">
      <c r="A58" s="5"/>
      <c r="B58" s="5"/>
      <c r="C58" s="5"/>
      <c r="D58" s="5"/>
      <c r="E58" s="5"/>
      <c r="F58" s="5"/>
      <c r="G58" s="5"/>
      <c r="H58" s="5"/>
      <c r="I58" s="5"/>
      <c r="J58" s="5"/>
      <c r="K58" s="5"/>
      <c r="L58" s="5"/>
      <c r="M58" s="5"/>
      <c r="N58" s="5"/>
      <c r="O58" s="5"/>
      <c r="P58" s="5"/>
      <c r="Q58" s="5"/>
      <c r="R58" s="5"/>
      <c r="S58" s="5"/>
      <c r="T58" s="5"/>
      <c r="U58" s="5"/>
      <c r="V58" s="5"/>
      <c r="W58" s="5"/>
      <c r="X58" s="5"/>
      <c r="Y58" s="5"/>
      <c r="Z58" s="5"/>
    </row>
    <row r="59" ht="15.75" customHeight="1">
      <c r="A59" s="5"/>
      <c r="B59" s="5"/>
      <c r="C59" s="5"/>
      <c r="D59" s="5"/>
      <c r="E59" s="5"/>
      <c r="F59" s="5"/>
      <c r="G59" s="5"/>
      <c r="H59" s="5"/>
      <c r="I59" s="5"/>
      <c r="J59" s="5"/>
      <c r="K59" s="5"/>
      <c r="L59" s="5"/>
      <c r="M59" s="5"/>
      <c r="N59" s="5"/>
      <c r="O59" s="5"/>
      <c r="P59" s="5"/>
      <c r="Q59" s="5"/>
      <c r="R59" s="5"/>
      <c r="S59" s="5"/>
      <c r="T59" s="5"/>
      <c r="U59" s="5"/>
      <c r="V59" s="5"/>
      <c r="W59" s="5"/>
      <c r="X59" s="5"/>
      <c r="Y59" s="5"/>
      <c r="Z59" s="5"/>
    </row>
    <row r="60" ht="15.75" customHeight="1">
      <c r="A60" s="5"/>
      <c r="B60" s="5"/>
      <c r="C60" s="5"/>
      <c r="D60" s="5"/>
      <c r="E60" s="5"/>
      <c r="F60" s="5"/>
      <c r="G60" s="5"/>
      <c r="H60" s="5"/>
      <c r="I60" s="5"/>
      <c r="J60" s="5"/>
      <c r="K60" s="5"/>
      <c r="L60" s="5"/>
      <c r="M60" s="5"/>
      <c r="N60" s="5"/>
      <c r="O60" s="5"/>
      <c r="P60" s="5"/>
      <c r="Q60" s="5"/>
      <c r="R60" s="5"/>
      <c r="S60" s="5"/>
      <c r="T60" s="5"/>
      <c r="U60" s="5"/>
      <c r="V60" s="5"/>
      <c r="W60" s="5"/>
      <c r="X60" s="5"/>
      <c r="Y60" s="5"/>
      <c r="Z60" s="5"/>
    </row>
    <row r="61" ht="15.75" customHeight="1">
      <c r="A61" s="5"/>
      <c r="B61" s="5"/>
      <c r="C61" s="5"/>
      <c r="D61" s="5"/>
      <c r="E61" s="5"/>
      <c r="F61" s="5"/>
      <c r="G61" s="5"/>
      <c r="H61" s="5"/>
      <c r="I61" s="5"/>
      <c r="J61" s="5"/>
      <c r="K61" s="5"/>
      <c r="L61" s="5"/>
      <c r="M61" s="5"/>
      <c r="N61" s="5"/>
      <c r="O61" s="5"/>
      <c r="P61" s="5"/>
      <c r="Q61" s="5"/>
      <c r="R61" s="5"/>
      <c r="S61" s="5"/>
      <c r="T61" s="5"/>
      <c r="U61" s="5"/>
      <c r="V61" s="5"/>
      <c r="W61" s="5"/>
      <c r="X61" s="5"/>
      <c r="Y61" s="5"/>
      <c r="Z61" s="5"/>
    </row>
    <row r="62" ht="15.75" customHeight="1">
      <c r="A62" s="5"/>
      <c r="B62" s="5"/>
      <c r="C62" s="5"/>
      <c r="D62" s="5"/>
      <c r="E62" s="5"/>
      <c r="F62" s="5"/>
      <c r="G62" s="5"/>
      <c r="H62" s="5"/>
      <c r="I62" s="5"/>
      <c r="J62" s="5"/>
      <c r="K62" s="5"/>
      <c r="L62" s="5"/>
      <c r="M62" s="5"/>
      <c r="N62" s="5"/>
      <c r="O62" s="5"/>
      <c r="P62" s="5"/>
      <c r="Q62" s="5"/>
      <c r="R62" s="5"/>
      <c r="S62" s="5"/>
      <c r="T62" s="5"/>
      <c r="U62" s="5"/>
      <c r="V62" s="5"/>
      <c r="W62" s="5"/>
      <c r="X62" s="5"/>
      <c r="Y62" s="5"/>
      <c r="Z62" s="5"/>
    </row>
    <row r="63" ht="15.75" customHeight="1">
      <c r="A63" s="5"/>
      <c r="B63" s="5"/>
      <c r="C63" s="5"/>
      <c r="D63" s="5"/>
      <c r="E63" s="5"/>
      <c r="F63" s="5"/>
      <c r="G63" s="5"/>
      <c r="H63" s="5"/>
      <c r="I63" s="5"/>
      <c r="J63" s="5"/>
      <c r="K63" s="5"/>
      <c r="L63" s="5"/>
      <c r="M63" s="5"/>
      <c r="N63" s="5"/>
      <c r="O63" s="5"/>
      <c r="P63" s="5"/>
      <c r="Q63" s="5"/>
      <c r="R63" s="5"/>
      <c r="S63" s="5"/>
      <c r="T63" s="5"/>
      <c r="U63" s="5"/>
      <c r="V63" s="5"/>
      <c r="W63" s="5"/>
      <c r="X63" s="5"/>
      <c r="Y63" s="5"/>
      <c r="Z63" s="5"/>
    </row>
    <row r="64" ht="15.75" customHeight="1">
      <c r="A64" s="5"/>
      <c r="B64" s="5"/>
      <c r="C64" s="5"/>
      <c r="D64" s="5"/>
      <c r="E64" s="5"/>
      <c r="F64" s="5"/>
      <c r="G64" s="5"/>
      <c r="H64" s="5"/>
      <c r="I64" s="5"/>
      <c r="J64" s="5"/>
      <c r="K64" s="5"/>
      <c r="L64" s="5"/>
      <c r="M64" s="5"/>
      <c r="N64" s="5"/>
      <c r="O64" s="5"/>
      <c r="P64" s="5"/>
      <c r="Q64" s="5"/>
      <c r="R64" s="5"/>
      <c r="S64" s="5"/>
      <c r="T64" s="5"/>
      <c r="U64" s="5"/>
      <c r="V64" s="5"/>
      <c r="W64" s="5"/>
      <c r="X64" s="5"/>
      <c r="Y64" s="5"/>
      <c r="Z64" s="5"/>
    </row>
    <row r="65" ht="15.75" customHeight="1">
      <c r="A65" s="5"/>
      <c r="B65" s="5"/>
      <c r="C65" s="5"/>
      <c r="D65" s="5"/>
      <c r="E65" s="5"/>
      <c r="F65" s="5"/>
      <c r="G65" s="5"/>
      <c r="H65" s="5"/>
      <c r="I65" s="5"/>
      <c r="J65" s="5"/>
      <c r="K65" s="5"/>
      <c r="L65" s="5"/>
      <c r="M65" s="5"/>
      <c r="N65" s="5"/>
      <c r="O65" s="5"/>
      <c r="P65" s="5"/>
      <c r="Q65" s="5"/>
      <c r="R65" s="5"/>
      <c r="S65" s="5"/>
      <c r="T65" s="5"/>
      <c r="U65" s="5"/>
      <c r="V65" s="5"/>
      <c r="W65" s="5"/>
      <c r="X65" s="5"/>
      <c r="Y65" s="5"/>
      <c r="Z65" s="5"/>
    </row>
    <row r="66" ht="15.75" customHeight="1">
      <c r="A66" s="5"/>
      <c r="B66" s="5"/>
      <c r="C66" s="5"/>
      <c r="D66" s="5"/>
      <c r="E66" s="5"/>
      <c r="F66" s="5"/>
      <c r="G66" s="5"/>
      <c r="H66" s="5"/>
      <c r="I66" s="5"/>
      <c r="J66" s="5"/>
      <c r="K66" s="5"/>
      <c r="L66" s="5"/>
      <c r="M66" s="5"/>
      <c r="N66" s="5"/>
      <c r="O66" s="5"/>
      <c r="P66" s="5"/>
      <c r="Q66" s="5"/>
      <c r="R66" s="5"/>
      <c r="S66" s="5"/>
      <c r="T66" s="5"/>
      <c r="U66" s="5"/>
      <c r="V66" s="5"/>
      <c r="W66" s="5"/>
      <c r="X66" s="5"/>
      <c r="Y66" s="5"/>
      <c r="Z66" s="5"/>
    </row>
    <row r="67" ht="15.75" customHeight="1">
      <c r="A67" s="5"/>
      <c r="B67" s="5"/>
      <c r="C67" s="5"/>
      <c r="D67" s="5"/>
      <c r="E67" s="5"/>
      <c r="F67" s="5"/>
      <c r="G67" s="5"/>
      <c r="H67" s="5"/>
      <c r="I67" s="5"/>
      <c r="J67" s="5"/>
      <c r="K67" s="5"/>
      <c r="L67" s="5"/>
      <c r="M67" s="5"/>
      <c r="N67" s="5"/>
      <c r="O67" s="5"/>
      <c r="P67" s="5"/>
      <c r="Q67" s="5"/>
      <c r="R67" s="5"/>
      <c r="S67" s="5"/>
      <c r="T67" s="5"/>
      <c r="U67" s="5"/>
      <c r="V67" s="5"/>
      <c r="W67" s="5"/>
      <c r="X67" s="5"/>
      <c r="Y67" s="5"/>
      <c r="Z67" s="5"/>
    </row>
    <row r="68" ht="15.75" customHeight="1">
      <c r="A68" s="5"/>
      <c r="B68" s="5"/>
      <c r="C68" s="5"/>
      <c r="D68" s="5"/>
      <c r="E68" s="5"/>
      <c r="F68" s="5"/>
      <c r="G68" s="5"/>
      <c r="H68" s="5"/>
      <c r="I68" s="5"/>
      <c r="J68" s="5"/>
      <c r="K68" s="5"/>
      <c r="L68" s="5"/>
      <c r="M68" s="5"/>
      <c r="N68" s="5"/>
      <c r="O68" s="5"/>
      <c r="P68" s="5"/>
      <c r="Q68" s="5"/>
      <c r="R68" s="5"/>
      <c r="S68" s="5"/>
      <c r="T68" s="5"/>
      <c r="U68" s="5"/>
      <c r="V68" s="5"/>
      <c r="W68" s="5"/>
      <c r="X68" s="5"/>
      <c r="Y68" s="5"/>
      <c r="Z68" s="5"/>
    </row>
    <row r="69" ht="15.75" customHeight="1">
      <c r="A69" s="5"/>
      <c r="B69" s="5"/>
      <c r="C69" s="5"/>
      <c r="D69" s="5"/>
      <c r="E69" s="5"/>
      <c r="F69" s="5"/>
      <c r="G69" s="5"/>
      <c r="H69" s="5"/>
      <c r="I69" s="5"/>
      <c r="J69" s="5"/>
      <c r="K69" s="5"/>
      <c r="L69" s="5"/>
      <c r="M69" s="5"/>
      <c r="N69" s="5"/>
      <c r="O69" s="5"/>
      <c r="P69" s="5"/>
      <c r="Q69" s="5"/>
      <c r="R69" s="5"/>
      <c r="S69" s="5"/>
      <c r="T69" s="5"/>
      <c r="U69" s="5"/>
      <c r="V69" s="5"/>
      <c r="W69" s="5"/>
      <c r="X69" s="5"/>
      <c r="Y69" s="5"/>
      <c r="Z69" s="5"/>
    </row>
    <row r="70" ht="15.75" customHeight="1">
      <c r="A70" s="5"/>
      <c r="B70" s="5"/>
      <c r="C70" s="5"/>
      <c r="D70" s="5"/>
      <c r="E70" s="5"/>
      <c r="F70" s="5"/>
      <c r="G70" s="5"/>
      <c r="H70" s="5"/>
      <c r="I70" s="5"/>
      <c r="J70" s="5"/>
      <c r="K70" s="5"/>
      <c r="L70" s="5"/>
      <c r="M70" s="5"/>
      <c r="N70" s="5"/>
      <c r="O70" s="5"/>
      <c r="P70" s="5"/>
      <c r="Q70" s="5"/>
      <c r="R70" s="5"/>
      <c r="S70" s="5"/>
      <c r="T70" s="5"/>
      <c r="U70" s="5"/>
      <c r="V70" s="5"/>
      <c r="W70" s="5"/>
      <c r="X70" s="5"/>
      <c r="Y70" s="5"/>
      <c r="Z70" s="5"/>
    </row>
    <row r="71" ht="15.75" customHeight="1">
      <c r="A71" s="5"/>
      <c r="B71" s="5"/>
      <c r="C71" s="5"/>
      <c r="D71" s="5"/>
      <c r="E71" s="5"/>
      <c r="F71" s="5"/>
      <c r="G71" s="5"/>
      <c r="H71" s="5"/>
      <c r="I71" s="5"/>
      <c r="J71" s="5"/>
      <c r="K71" s="5"/>
      <c r="L71" s="5"/>
      <c r="M71" s="5"/>
      <c r="N71" s="5"/>
      <c r="O71" s="5"/>
      <c r="P71" s="5"/>
      <c r="Q71" s="5"/>
      <c r="R71" s="5"/>
      <c r="S71" s="5"/>
      <c r="T71" s="5"/>
      <c r="U71" s="5"/>
      <c r="V71" s="5"/>
      <c r="W71" s="5"/>
      <c r="X71" s="5"/>
      <c r="Y71" s="5"/>
      <c r="Z71" s="5"/>
    </row>
    <row r="72" ht="15.75" customHeight="1">
      <c r="A72" s="5"/>
      <c r="B72" s="5"/>
      <c r="C72" s="5"/>
      <c r="D72" s="5"/>
      <c r="E72" s="5"/>
      <c r="F72" s="5"/>
      <c r="G72" s="5"/>
      <c r="H72" s="5"/>
      <c r="I72" s="5"/>
      <c r="J72" s="5"/>
      <c r="K72" s="5"/>
      <c r="L72" s="5"/>
      <c r="M72" s="5"/>
      <c r="N72" s="5"/>
      <c r="O72" s="5"/>
      <c r="P72" s="5"/>
      <c r="Q72" s="5"/>
      <c r="R72" s="5"/>
      <c r="S72" s="5"/>
      <c r="T72" s="5"/>
      <c r="U72" s="5"/>
      <c r="V72" s="5"/>
      <c r="W72" s="5"/>
      <c r="X72" s="5"/>
      <c r="Y72" s="5"/>
      <c r="Z72" s="5"/>
    </row>
    <row r="73" ht="15.75" customHeight="1">
      <c r="A73" s="5"/>
      <c r="B73" s="5"/>
      <c r="C73" s="5"/>
      <c r="D73" s="5"/>
      <c r="E73" s="5"/>
      <c r="F73" s="5"/>
      <c r="G73" s="5"/>
      <c r="H73" s="5"/>
      <c r="I73" s="5"/>
      <c r="J73" s="5"/>
      <c r="K73" s="5"/>
      <c r="L73" s="5"/>
      <c r="M73" s="5"/>
      <c r="N73" s="5"/>
      <c r="O73" s="5"/>
      <c r="P73" s="5"/>
      <c r="Q73" s="5"/>
      <c r="R73" s="5"/>
      <c r="S73" s="5"/>
      <c r="T73" s="5"/>
      <c r="U73" s="5"/>
      <c r="V73" s="5"/>
      <c r="W73" s="5"/>
      <c r="X73" s="5"/>
      <c r="Y73" s="5"/>
      <c r="Z73" s="5"/>
    </row>
    <row r="74" ht="15.75" customHeight="1">
      <c r="A74" s="5"/>
      <c r="B74" s="5"/>
      <c r="C74" s="5"/>
      <c r="D74" s="5"/>
      <c r="E74" s="5"/>
      <c r="F74" s="5"/>
      <c r="G74" s="5"/>
      <c r="H74" s="5"/>
      <c r="I74" s="5"/>
      <c r="J74" s="5"/>
      <c r="K74" s="5"/>
      <c r="L74" s="5"/>
      <c r="M74" s="5"/>
      <c r="N74" s="5"/>
      <c r="O74" s="5"/>
      <c r="P74" s="5"/>
      <c r="Q74" s="5"/>
      <c r="R74" s="5"/>
      <c r="S74" s="5"/>
      <c r="T74" s="5"/>
      <c r="U74" s="5"/>
      <c r="V74" s="5"/>
      <c r="W74" s="5"/>
      <c r="X74" s="5"/>
      <c r="Y74" s="5"/>
      <c r="Z74" s="5"/>
    </row>
    <row r="75" ht="15.75" customHeight="1">
      <c r="A75" s="5"/>
      <c r="B75" s="5"/>
      <c r="C75" s="5"/>
      <c r="D75" s="5"/>
      <c r="E75" s="5"/>
      <c r="F75" s="5"/>
      <c r="G75" s="5"/>
      <c r="H75" s="5"/>
      <c r="I75" s="5"/>
      <c r="J75" s="5"/>
      <c r="K75" s="5"/>
      <c r="L75" s="5"/>
      <c r="M75" s="5"/>
      <c r="N75" s="5"/>
      <c r="O75" s="5"/>
      <c r="P75" s="5"/>
      <c r="Q75" s="5"/>
      <c r="R75" s="5"/>
      <c r="S75" s="5"/>
      <c r="T75" s="5"/>
      <c r="U75" s="5"/>
      <c r="V75" s="5"/>
      <c r="W75" s="5"/>
      <c r="X75" s="5"/>
      <c r="Y75" s="5"/>
      <c r="Z75" s="5"/>
    </row>
    <row r="76" ht="15.75" customHeight="1">
      <c r="A76" s="5"/>
      <c r="B76" s="5"/>
      <c r="C76" s="5"/>
      <c r="D76" s="5"/>
      <c r="E76" s="5"/>
      <c r="F76" s="5"/>
      <c r="G76" s="5"/>
      <c r="H76" s="5"/>
      <c r="I76" s="5"/>
      <c r="J76" s="5"/>
      <c r="K76" s="5"/>
      <c r="L76" s="5"/>
      <c r="M76" s="5"/>
      <c r="N76" s="5"/>
      <c r="O76" s="5"/>
      <c r="P76" s="5"/>
      <c r="Q76" s="5"/>
      <c r="R76" s="5"/>
      <c r="S76" s="5"/>
      <c r="T76" s="5"/>
      <c r="U76" s="5"/>
      <c r="V76" s="5"/>
      <c r="W76" s="5"/>
      <c r="X76" s="5"/>
      <c r="Y76" s="5"/>
      <c r="Z76" s="5"/>
    </row>
    <row r="77" ht="15.75" customHeight="1">
      <c r="A77" s="5"/>
      <c r="B77" s="5"/>
      <c r="C77" s="5"/>
      <c r="D77" s="5"/>
      <c r="E77" s="5"/>
      <c r="F77" s="5"/>
      <c r="G77" s="5"/>
      <c r="H77" s="5"/>
      <c r="I77" s="5"/>
      <c r="J77" s="5"/>
      <c r="K77" s="5"/>
      <c r="L77" s="5"/>
      <c r="M77" s="5"/>
      <c r="N77" s="5"/>
      <c r="O77" s="5"/>
      <c r="P77" s="5"/>
      <c r="Q77" s="5"/>
      <c r="R77" s="5"/>
      <c r="S77" s="5"/>
      <c r="T77" s="5"/>
      <c r="U77" s="5"/>
      <c r="V77" s="5"/>
      <c r="W77" s="5"/>
      <c r="X77" s="5"/>
      <c r="Y77" s="5"/>
      <c r="Z77" s="5"/>
    </row>
    <row r="78" ht="15.75" customHeight="1">
      <c r="A78" s="5"/>
      <c r="B78" s="5"/>
      <c r="C78" s="5"/>
      <c r="D78" s="5"/>
      <c r="E78" s="5"/>
      <c r="F78" s="5"/>
      <c r="G78" s="5"/>
      <c r="H78" s="5"/>
      <c r="I78" s="5"/>
      <c r="J78" s="5"/>
      <c r="K78" s="5"/>
      <c r="L78" s="5"/>
      <c r="M78" s="5"/>
      <c r="N78" s="5"/>
      <c r="O78" s="5"/>
      <c r="P78" s="5"/>
      <c r="Q78" s="5"/>
      <c r="R78" s="5"/>
      <c r="S78" s="5"/>
      <c r="T78" s="5"/>
      <c r="U78" s="5"/>
      <c r="V78" s="5"/>
      <c r="W78" s="5"/>
      <c r="X78" s="5"/>
      <c r="Y78" s="5"/>
      <c r="Z78" s="5"/>
    </row>
    <row r="79" ht="15.75" customHeight="1">
      <c r="A79" s="5"/>
      <c r="B79" s="5"/>
      <c r="C79" s="5"/>
      <c r="D79" s="5"/>
      <c r="E79" s="5"/>
      <c r="F79" s="5"/>
      <c r="G79" s="5"/>
      <c r="H79" s="5"/>
      <c r="I79" s="5"/>
      <c r="J79" s="5"/>
      <c r="K79" s="5"/>
      <c r="L79" s="5"/>
      <c r="M79" s="5"/>
      <c r="N79" s="5"/>
      <c r="O79" s="5"/>
      <c r="P79" s="5"/>
      <c r="Q79" s="5"/>
      <c r="R79" s="5"/>
      <c r="S79" s="5"/>
      <c r="T79" s="5"/>
      <c r="U79" s="5"/>
      <c r="V79" s="5"/>
      <c r="W79" s="5"/>
      <c r="X79" s="5"/>
      <c r="Y79" s="5"/>
      <c r="Z79" s="5"/>
    </row>
    <row r="80" ht="15.75" customHeight="1">
      <c r="A80" s="5"/>
      <c r="B80" s="5"/>
      <c r="C80" s="5"/>
      <c r="D80" s="5"/>
      <c r="E80" s="5"/>
      <c r="F80" s="5"/>
      <c r="G80" s="5"/>
      <c r="H80" s="5"/>
      <c r="I80" s="5"/>
      <c r="J80" s="5"/>
      <c r="K80" s="5"/>
      <c r="L80" s="5"/>
      <c r="M80" s="5"/>
      <c r="N80" s="5"/>
      <c r="O80" s="5"/>
      <c r="P80" s="5"/>
      <c r="Q80" s="5"/>
      <c r="R80" s="5"/>
      <c r="S80" s="5"/>
      <c r="T80" s="5"/>
      <c r="U80" s="5"/>
      <c r="V80" s="5"/>
      <c r="W80" s="5"/>
      <c r="X80" s="5"/>
      <c r="Y80" s="5"/>
      <c r="Z80" s="5"/>
    </row>
    <row r="81" ht="15.75" customHeight="1">
      <c r="A81" s="5"/>
      <c r="B81" s="5"/>
      <c r="C81" s="5"/>
      <c r="D81" s="5"/>
      <c r="E81" s="5"/>
      <c r="F81" s="5"/>
      <c r="G81" s="5"/>
      <c r="H81" s="5"/>
      <c r="I81" s="5"/>
      <c r="J81" s="5"/>
      <c r="K81" s="5"/>
      <c r="L81" s="5"/>
      <c r="M81" s="5"/>
      <c r="N81" s="5"/>
      <c r="O81" s="5"/>
      <c r="P81" s="5"/>
      <c r="Q81" s="5"/>
      <c r="R81" s="5"/>
      <c r="S81" s="5"/>
      <c r="T81" s="5"/>
      <c r="U81" s="5"/>
      <c r="V81" s="5"/>
      <c r="W81" s="5"/>
      <c r="X81" s="5"/>
      <c r="Y81" s="5"/>
      <c r="Z81" s="5"/>
    </row>
    <row r="82" ht="15.75" customHeight="1">
      <c r="A82" s="5"/>
      <c r="B82" s="5"/>
      <c r="C82" s="5"/>
      <c r="D82" s="5"/>
      <c r="E82" s="5"/>
      <c r="F82" s="5"/>
      <c r="G82" s="5"/>
      <c r="H82" s="5"/>
      <c r="I82" s="5"/>
      <c r="J82" s="5"/>
      <c r="K82" s="5"/>
      <c r="L82" s="5"/>
      <c r="M82" s="5"/>
      <c r="N82" s="5"/>
      <c r="O82" s="5"/>
      <c r="P82" s="5"/>
      <c r="Q82" s="5"/>
      <c r="R82" s="5"/>
      <c r="S82" s="5"/>
      <c r="T82" s="5"/>
      <c r="U82" s="5"/>
      <c r="V82" s="5"/>
      <c r="W82" s="5"/>
      <c r="X82" s="5"/>
      <c r="Y82" s="5"/>
      <c r="Z82" s="5"/>
    </row>
    <row r="83" ht="15.75" customHeight="1">
      <c r="A83" s="5"/>
      <c r="B83" s="5"/>
      <c r="C83" s="5"/>
      <c r="D83" s="5"/>
      <c r="E83" s="5"/>
      <c r="F83" s="5"/>
      <c r="G83" s="5"/>
      <c r="H83" s="5"/>
      <c r="I83" s="5"/>
      <c r="J83" s="5"/>
      <c r="K83" s="5"/>
      <c r="L83" s="5"/>
      <c r="M83" s="5"/>
      <c r="N83" s="5"/>
      <c r="O83" s="5"/>
      <c r="P83" s="5"/>
      <c r="Q83" s="5"/>
      <c r="R83" s="5"/>
      <c r="S83" s="5"/>
      <c r="T83" s="5"/>
      <c r="U83" s="5"/>
      <c r="V83" s="5"/>
      <c r="W83" s="5"/>
      <c r="X83" s="5"/>
      <c r="Y83" s="5"/>
      <c r="Z83" s="5"/>
    </row>
    <row r="84" ht="15.75" customHeight="1">
      <c r="A84" s="5"/>
      <c r="B84" s="5"/>
      <c r="C84" s="5"/>
      <c r="D84" s="5"/>
      <c r="E84" s="5"/>
      <c r="F84" s="5"/>
      <c r="G84" s="5"/>
      <c r="H84" s="5"/>
      <c r="I84" s="5"/>
      <c r="J84" s="5"/>
      <c r="K84" s="5"/>
      <c r="L84" s="5"/>
      <c r="M84" s="5"/>
      <c r="N84" s="5"/>
      <c r="O84" s="5"/>
      <c r="P84" s="5"/>
      <c r="Q84" s="5"/>
      <c r="R84" s="5"/>
      <c r="S84" s="5"/>
      <c r="T84" s="5"/>
      <c r="U84" s="5"/>
      <c r="V84" s="5"/>
      <c r="W84" s="5"/>
      <c r="X84" s="5"/>
      <c r="Y84" s="5"/>
      <c r="Z84" s="5"/>
    </row>
    <row r="85" ht="15.75" customHeight="1">
      <c r="A85" s="5"/>
      <c r="B85" s="5"/>
      <c r="C85" s="5"/>
      <c r="D85" s="5"/>
      <c r="E85" s="5"/>
      <c r="F85" s="5"/>
      <c r="G85" s="5"/>
      <c r="H85" s="5"/>
      <c r="I85" s="5"/>
      <c r="J85" s="5"/>
      <c r="K85" s="5"/>
      <c r="L85" s="5"/>
      <c r="M85" s="5"/>
      <c r="N85" s="5"/>
      <c r="O85" s="5"/>
      <c r="P85" s="5"/>
      <c r="Q85" s="5"/>
      <c r="R85" s="5"/>
      <c r="S85" s="5"/>
      <c r="T85" s="5"/>
      <c r="U85" s="5"/>
      <c r="V85" s="5"/>
      <c r="W85" s="5"/>
      <c r="X85" s="5"/>
      <c r="Y85" s="5"/>
      <c r="Z85" s="5"/>
    </row>
    <row r="86" ht="15.75" customHeight="1">
      <c r="A86" s="5"/>
      <c r="B86" s="5"/>
      <c r="C86" s="5"/>
      <c r="D86" s="5"/>
      <c r="E86" s="5"/>
      <c r="F86" s="5"/>
      <c r="G86" s="5"/>
      <c r="H86" s="5"/>
      <c r="I86" s="5"/>
      <c r="J86" s="5"/>
      <c r="K86" s="5"/>
      <c r="L86" s="5"/>
      <c r="M86" s="5"/>
      <c r="N86" s="5"/>
      <c r="O86" s="5"/>
      <c r="P86" s="5"/>
      <c r="Q86" s="5"/>
      <c r="R86" s="5"/>
      <c r="S86" s="5"/>
      <c r="T86" s="5"/>
      <c r="U86" s="5"/>
      <c r="V86" s="5"/>
      <c r="W86" s="5"/>
      <c r="X86" s="5"/>
      <c r="Y86" s="5"/>
      <c r="Z86" s="5"/>
    </row>
    <row r="87" ht="15.75" customHeight="1">
      <c r="A87" s="5"/>
      <c r="B87" s="5"/>
      <c r="C87" s="5"/>
      <c r="D87" s="5"/>
      <c r="E87" s="5"/>
      <c r="F87" s="5"/>
      <c r="G87" s="5"/>
      <c r="H87" s="5"/>
      <c r="I87" s="5"/>
      <c r="J87" s="5"/>
      <c r="K87" s="5"/>
      <c r="L87" s="5"/>
      <c r="M87" s="5"/>
      <c r="N87" s="5"/>
      <c r="O87" s="5"/>
      <c r="P87" s="5"/>
      <c r="Q87" s="5"/>
      <c r="R87" s="5"/>
      <c r="S87" s="5"/>
      <c r="T87" s="5"/>
      <c r="U87" s="5"/>
      <c r="V87" s="5"/>
      <c r="W87" s="5"/>
      <c r="X87" s="5"/>
      <c r="Y87" s="5"/>
      <c r="Z87" s="5"/>
    </row>
    <row r="88" ht="15.75" customHeight="1">
      <c r="A88" s="5"/>
      <c r="B88" s="5"/>
      <c r="C88" s="5"/>
      <c r="D88" s="5"/>
      <c r="E88" s="5"/>
      <c r="F88" s="5"/>
      <c r="G88" s="5"/>
      <c r="H88" s="5"/>
      <c r="I88" s="5"/>
      <c r="J88" s="5"/>
      <c r="K88" s="5"/>
      <c r="L88" s="5"/>
      <c r="M88" s="5"/>
      <c r="N88" s="5"/>
      <c r="O88" s="5"/>
      <c r="P88" s="5"/>
      <c r="Q88" s="5"/>
      <c r="R88" s="5"/>
      <c r="S88" s="5"/>
      <c r="T88" s="5"/>
      <c r="U88" s="5"/>
      <c r="V88" s="5"/>
      <c r="W88" s="5"/>
      <c r="X88" s="5"/>
      <c r="Y88" s="5"/>
      <c r="Z88" s="5"/>
    </row>
    <row r="89" ht="15.75" customHeight="1">
      <c r="A89" s="5"/>
      <c r="B89" s="5"/>
      <c r="C89" s="5"/>
      <c r="D89" s="5"/>
      <c r="E89" s="5"/>
      <c r="F89" s="5"/>
      <c r="G89" s="5"/>
      <c r="H89" s="5"/>
      <c r="I89" s="5"/>
      <c r="J89" s="5"/>
      <c r="K89" s="5"/>
      <c r="L89" s="5"/>
      <c r="M89" s="5"/>
      <c r="N89" s="5"/>
      <c r="O89" s="5"/>
      <c r="P89" s="5"/>
      <c r="Q89" s="5"/>
      <c r="R89" s="5"/>
      <c r="S89" s="5"/>
      <c r="T89" s="5"/>
      <c r="U89" s="5"/>
      <c r="V89" s="5"/>
      <c r="W89" s="5"/>
      <c r="X89" s="5"/>
      <c r="Y89" s="5"/>
      <c r="Z89" s="5"/>
    </row>
    <row r="90" ht="15.75" customHeight="1">
      <c r="A90" s="5"/>
      <c r="B90" s="5"/>
      <c r="C90" s="5"/>
      <c r="D90" s="5"/>
      <c r="E90" s="5"/>
      <c r="F90" s="5"/>
      <c r="G90" s="5"/>
      <c r="H90" s="5"/>
      <c r="I90" s="5"/>
      <c r="J90" s="5"/>
      <c r="K90" s="5"/>
      <c r="L90" s="5"/>
      <c r="M90" s="5"/>
      <c r="N90" s="5"/>
      <c r="O90" s="5"/>
      <c r="P90" s="5"/>
      <c r="Q90" s="5"/>
      <c r="R90" s="5"/>
      <c r="S90" s="5"/>
      <c r="T90" s="5"/>
      <c r="U90" s="5"/>
      <c r="V90" s="5"/>
      <c r="W90" s="5"/>
      <c r="X90" s="5"/>
      <c r="Y90" s="5"/>
      <c r="Z90" s="5"/>
    </row>
    <row r="91" ht="15.75" customHeight="1">
      <c r="A91" s="5"/>
      <c r="B91" s="5"/>
      <c r="C91" s="5"/>
      <c r="D91" s="5"/>
      <c r="E91" s="5"/>
      <c r="F91" s="5"/>
      <c r="G91" s="5"/>
      <c r="H91" s="5"/>
      <c r="I91" s="5"/>
      <c r="J91" s="5"/>
      <c r="K91" s="5"/>
      <c r="L91" s="5"/>
      <c r="M91" s="5"/>
      <c r="N91" s="5"/>
      <c r="O91" s="5"/>
      <c r="P91" s="5"/>
      <c r="Q91" s="5"/>
      <c r="R91" s="5"/>
      <c r="S91" s="5"/>
      <c r="T91" s="5"/>
      <c r="U91" s="5"/>
      <c r="V91" s="5"/>
      <c r="W91" s="5"/>
      <c r="X91" s="5"/>
      <c r="Y91" s="5"/>
      <c r="Z91" s="5"/>
    </row>
    <row r="92" ht="15.75" customHeight="1">
      <c r="A92" s="5"/>
      <c r="B92" s="5"/>
      <c r="C92" s="5"/>
      <c r="D92" s="5"/>
      <c r="E92" s="5"/>
      <c r="F92" s="5"/>
      <c r="G92" s="5"/>
      <c r="H92" s="5"/>
      <c r="I92" s="5"/>
      <c r="J92" s="5"/>
      <c r="K92" s="5"/>
      <c r="L92" s="5"/>
      <c r="M92" s="5"/>
      <c r="N92" s="5"/>
      <c r="O92" s="5"/>
      <c r="P92" s="5"/>
      <c r="Q92" s="5"/>
      <c r="R92" s="5"/>
      <c r="S92" s="5"/>
      <c r="T92" s="5"/>
      <c r="U92" s="5"/>
      <c r="V92" s="5"/>
      <c r="W92" s="5"/>
      <c r="X92" s="5"/>
      <c r="Y92" s="5"/>
      <c r="Z92" s="5"/>
    </row>
    <row r="93" ht="15.75" customHeight="1">
      <c r="A93" s="5"/>
      <c r="B93" s="5"/>
      <c r="C93" s="5"/>
      <c r="D93" s="5"/>
      <c r="E93" s="5"/>
      <c r="F93" s="5"/>
      <c r="G93" s="5"/>
      <c r="H93" s="5"/>
      <c r="I93" s="5"/>
      <c r="J93" s="5"/>
      <c r="K93" s="5"/>
      <c r="L93" s="5"/>
      <c r="M93" s="5"/>
      <c r="N93" s="5"/>
      <c r="O93" s="5"/>
      <c r="P93" s="5"/>
      <c r="Q93" s="5"/>
      <c r="R93" s="5"/>
      <c r="S93" s="5"/>
      <c r="T93" s="5"/>
      <c r="U93" s="5"/>
      <c r="V93" s="5"/>
      <c r="W93" s="5"/>
      <c r="X93" s="5"/>
      <c r="Y93" s="5"/>
      <c r="Z93" s="5"/>
    </row>
    <row r="94" ht="15.75" customHeight="1">
      <c r="A94" s="5"/>
      <c r="B94" s="5"/>
      <c r="C94" s="5"/>
      <c r="D94" s="5"/>
      <c r="E94" s="5"/>
      <c r="F94" s="5"/>
      <c r="G94" s="5"/>
      <c r="H94" s="5"/>
      <c r="I94" s="5"/>
      <c r="J94" s="5"/>
      <c r="K94" s="5"/>
      <c r="L94" s="5"/>
      <c r="M94" s="5"/>
      <c r="N94" s="5"/>
      <c r="O94" s="5"/>
      <c r="P94" s="5"/>
      <c r="Q94" s="5"/>
      <c r="R94" s="5"/>
      <c r="S94" s="5"/>
      <c r="T94" s="5"/>
      <c r="U94" s="5"/>
      <c r="V94" s="5"/>
      <c r="W94" s="5"/>
      <c r="X94" s="5"/>
      <c r="Y94" s="5"/>
      <c r="Z94" s="5"/>
    </row>
    <row r="95" ht="15.75" customHeight="1">
      <c r="A95" s="5"/>
      <c r="B95" s="5"/>
      <c r="C95" s="5"/>
      <c r="D95" s="5"/>
      <c r="E95" s="5"/>
      <c r="F95" s="5"/>
      <c r="G95" s="5"/>
      <c r="H95" s="5"/>
      <c r="I95" s="5"/>
      <c r="J95" s="5"/>
      <c r="K95" s="5"/>
      <c r="L95" s="5"/>
      <c r="M95" s="5"/>
      <c r="N95" s="5"/>
      <c r="O95" s="5"/>
      <c r="P95" s="5"/>
      <c r="Q95" s="5"/>
      <c r="R95" s="5"/>
      <c r="S95" s="5"/>
      <c r="T95" s="5"/>
      <c r="U95" s="5"/>
      <c r="V95" s="5"/>
      <c r="W95" s="5"/>
      <c r="X95" s="5"/>
      <c r="Y95" s="5"/>
      <c r="Z95" s="5"/>
    </row>
    <row r="96" ht="15.75" customHeight="1">
      <c r="A96" s="5"/>
      <c r="B96" s="5"/>
      <c r="C96" s="5"/>
      <c r="D96" s="5"/>
      <c r="E96" s="5"/>
      <c r="F96" s="5"/>
      <c r="G96" s="5"/>
      <c r="H96" s="5"/>
      <c r="I96" s="5"/>
      <c r="J96" s="5"/>
      <c r="K96" s="5"/>
      <c r="L96" s="5"/>
      <c r="M96" s="5"/>
      <c r="N96" s="5"/>
      <c r="O96" s="5"/>
      <c r="P96" s="5"/>
      <c r="Q96" s="5"/>
      <c r="R96" s="5"/>
      <c r="S96" s="5"/>
      <c r="T96" s="5"/>
      <c r="U96" s="5"/>
      <c r="V96" s="5"/>
      <c r="W96" s="5"/>
      <c r="X96" s="5"/>
      <c r="Y96" s="5"/>
      <c r="Z96" s="5"/>
    </row>
    <row r="97" ht="15.75" customHeight="1">
      <c r="A97" s="5"/>
      <c r="B97" s="5"/>
      <c r="C97" s="5"/>
      <c r="D97" s="5"/>
      <c r="E97" s="5"/>
      <c r="F97" s="5"/>
      <c r="G97" s="5"/>
      <c r="H97" s="5"/>
      <c r="I97" s="5"/>
      <c r="J97" s="5"/>
      <c r="K97" s="5"/>
      <c r="L97" s="5"/>
      <c r="M97" s="5"/>
      <c r="N97" s="5"/>
      <c r="O97" s="5"/>
      <c r="P97" s="5"/>
      <c r="Q97" s="5"/>
      <c r="R97" s="5"/>
      <c r="S97" s="5"/>
      <c r="T97" s="5"/>
      <c r="U97" s="5"/>
      <c r="V97" s="5"/>
      <c r="W97" s="5"/>
      <c r="X97" s="5"/>
      <c r="Y97" s="5"/>
      <c r="Z97" s="5"/>
    </row>
    <row r="98" ht="15.75" customHeight="1">
      <c r="A98" s="5"/>
      <c r="B98" s="5"/>
      <c r="C98" s="5"/>
      <c r="D98" s="5"/>
      <c r="E98" s="5"/>
      <c r="F98" s="5"/>
      <c r="G98" s="5"/>
      <c r="H98" s="5"/>
      <c r="I98" s="5"/>
      <c r="J98" s="5"/>
      <c r="K98" s="5"/>
      <c r="L98" s="5"/>
      <c r="M98" s="5"/>
      <c r="N98" s="5"/>
      <c r="O98" s="5"/>
      <c r="P98" s="5"/>
      <c r="Q98" s="5"/>
      <c r="R98" s="5"/>
      <c r="S98" s="5"/>
      <c r="T98" s="5"/>
      <c r="U98" s="5"/>
      <c r="V98" s="5"/>
      <c r="W98" s="5"/>
      <c r="X98" s="5"/>
      <c r="Y98" s="5"/>
      <c r="Z98" s="5"/>
    </row>
    <row r="99" ht="15.75" customHeight="1">
      <c r="A99" s="5"/>
      <c r="B99" s="5"/>
      <c r="C99" s="5"/>
      <c r="D99" s="5"/>
      <c r="E99" s="5"/>
      <c r="F99" s="5"/>
      <c r="G99" s="5"/>
      <c r="H99" s="5"/>
      <c r="I99" s="5"/>
      <c r="J99" s="5"/>
      <c r="K99" s="5"/>
      <c r="L99" s="5"/>
      <c r="M99" s="5"/>
      <c r="N99" s="5"/>
      <c r="O99" s="5"/>
      <c r="P99" s="5"/>
      <c r="Q99" s="5"/>
      <c r="R99" s="5"/>
      <c r="S99" s="5"/>
      <c r="T99" s="5"/>
      <c r="U99" s="5"/>
      <c r="V99" s="5"/>
      <c r="W99" s="5"/>
      <c r="X99" s="5"/>
      <c r="Y99" s="5"/>
      <c r="Z99" s="5"/>
    </row>
    <row r="100" ht="15.7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ht="15.7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ht="15.7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ht="15.7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ht="15.7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ht="15.7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ht="15.7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ht="15.7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ht="15.7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ht="15.7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ht="15.7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ht="15.7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ht="15.7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ht="15.7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ht="15.7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ht="15.7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ht="15.7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ht="15.7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ht="15.7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ht="15.7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ht="15.7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ht="15.7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ht="15.7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ht="15.7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ht="15.7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ht="15.7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ht="15.7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ht="15.7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ht="15.7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ht="15.7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ht="15.7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ht="15.7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ht="15.7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ht="15.7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ht="15.7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ht="15.7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ht="15.7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ht="15.7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ht="15.7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ht="15.7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ht="15.7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ht="15.7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ht="15.7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ht="15.7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ht="15.7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ht="15.7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ht="15.7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ht="15.7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ht="15.7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ht="15.7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ht="15.7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ht="15.7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ht="15.7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ht="15.7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ht="15.7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ht="15.7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ht="15.7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ht="15.7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ht="15.7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ht="15.7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ht="15.7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ht="15.7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ht="15.7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ht="15.7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ht="15.7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ht="15.7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ht="15.7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ht="15.7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ht="15.7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ht="15.7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ht="15.7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ht="15.7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ht="15.7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ht="15.7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ht="15.7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ht="15.7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ht="15.7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ht="15.7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ht="15.7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ht="15.7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ht="15.7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ht="15.7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ht="15.7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ht="15.7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ht="15.7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ht="15.7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ht="15.7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ht="15.7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ht="15.7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ht="15.7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ht="15.7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ht="15.7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ht="15.7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ht="15.7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ht="15.7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ht="15.7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ht="15.7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ht="15.7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ht="15.7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ht="15.7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ht="15.7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ht="15.7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ht="15.7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ht="15.7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ht="15.7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ht="15.7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ht="15.7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ht="15.7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ht="15.7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ht="15.7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ht="15.7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ht="15.7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ht="15.7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ht="15.7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ht="15.7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ht="15.7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ht="15.7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ht="15.7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ht="15.7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ht="15.7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ht="15.7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ht="15.7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ht="15.7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ht="15.7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ht="15.7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ht="15.7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ht="15.7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ht="15.7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ht="15.7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ht="15.7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ht="15.7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ht="15.7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ht="15.7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ht="15.7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ht="15.7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ht="15.7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ht="15.7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ht="15.7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ht="15.7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ht="15.7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ht="15.7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ht="15.7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ht="15.7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ht="15.7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ht="15.7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ht="15.7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ht="15.7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ht="15.7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ht="15.7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ht="15.7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ht="15.7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ht="15.7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ht="15.7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ht="15.7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ht="15.7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ht="15.7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ht="15.7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ht="15.7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ht="15.7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ht="15.7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ht="15.7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ht="15.7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ht="15.7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ht="15.7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ht="15.7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ht="15.7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ht="15.7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ht="15.7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ht="15.7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ht="15.7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ht="15.7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ht="15.7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ht="15.7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ht="15.7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ht="15.7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ht="15.7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ht="15.7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ht="15.7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ht="15.7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ht="15.7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ht="15.7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ht="15.7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ht="15.7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ht="15.7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ht="15.7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ht="15.7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ht="15.7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ht="15.7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ht="15.7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ht="15.7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ht="15.7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ht="15.7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ht="15.7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ht="15.7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ht="15.7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ht="15.7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ht="15.7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ht="15.7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ht="15.7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ht="15.7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ht="15.7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ht="15.7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ht="15.7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ht="15.7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ht="15.7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ht="15.7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ht="15.7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ht="15.7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ht="15.7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ht="15.7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ht="15.7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ht="15.7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ht="15.7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ht="15.7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ht="15.7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ht="15.7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ht="15.7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ht="15.7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ht="15.7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ht="15.7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ht="15.7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ht="15.7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ht="15.7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ht="15.7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ht="15.7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ht="15.7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ht="15.7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ht="15.7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ht="15.7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ht="15.7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ht="15.7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ht="15.7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ht="15.7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ht="15.7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ht="15.7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ht="15.7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ht="15.7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ht="15.7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ht="15.7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ht="15.7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ht="15.7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ht="15.7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ht="15.7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ht="15.7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ht="15.7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ht="15.7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ht="15.7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ht="15.7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ht="15.7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ht="15.7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ht="15.7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ht="15.7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ht="15.7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ht="15.7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ht="15.7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ht="15.7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ht="15.7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ht="15.7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ht="15.7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ht="15.7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ht="15.7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ht="15.7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ht="15.7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ht="15.7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ht="15.7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ht="15.7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ht="15.7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ht="15.7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ht="15.7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ht="15.7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ht="15.7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ht="15.7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ht="15.7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ht="15.7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ht="15.7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ht="15.7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ht="15.7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ht="15.7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ht="15.7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ht="15.7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ht="15.7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ht="15.7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ht="15.7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ht="15.7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ht="15.7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ht="15.7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ht="15.7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ht="15.7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ht="15.7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ht="15.7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ht="15.7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ht="15.7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ht="15.7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ht="15.7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ht="15.7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ht="15.7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ht="15.7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ht="15.7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ht="15.7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ht="15.7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ht="15.7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ht="15.7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ht="15.7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ht="15.7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ht="15.7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ht="15.7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ht="15.7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ht="15.7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ht="15.7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ht="15.7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ht="15.7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ht="15.7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ht="15.7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ht="15.7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ht="15.7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ht="15.7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ht="15.7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ht="15.7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ht="15.7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ht="15.7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ht="15.7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ht="15.7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ht="15.7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ht="15.7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ht="15.7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ht="15.7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ht="15.7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ht="15.7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ht="15.7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ht="15.7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ht="15.7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ht="15.7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ht="15.7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ht="15.7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ht="15.7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ht="15.7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ht="15.7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ht="15.7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ht="15.7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ht="15.7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ht="15.7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ht="15.7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ht="15.7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ht="15.7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ht="15.7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ht="15.7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ht="15.7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ht="15.7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ht="15.7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ht="15.7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ht="15.7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ht="15.7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ht="15.7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ht="15.7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ht="15.7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ht="15.7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ht="15.7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ht="15.7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ht="15.7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ht="15.7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ht="15.7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ht="15.7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ht="15.7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ht="15.7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ht="15.7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ht="15.7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ht="15.7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ht="15.7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ht="15.7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ht="15.7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ht="15.7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ht="15.7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ht="15.7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ht="15.7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ht="15.7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ht="15.7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ht="15.7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ht="15.7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ht="15.7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ht="15.7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ht="15.7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ht="15.7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ht="15.7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ht="15.7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ht="15.7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ht="15.7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ht="15.7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ht="15.7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ht="15.7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ht="15.7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ht="15.7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ht="15.7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ht="15.7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ht="15.7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ht="15.7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ht="15.7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ht="15.7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ht="15.7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ht="15.7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ht="15.7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ht="15.7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ht="15.7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ht="15.7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ht="15.7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ht="15.7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ht="15.7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ht="15.7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ht="15.7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ht="15.7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ht="15.7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ht="15.7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ht="15.7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ht="15.7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ht="15.7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ht="15.7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ht="15.7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ht="15.7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ht="15.7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ht="15.7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ht="15.7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ht="15.7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ht="15.7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ht="15.7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ht="15.7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ht="15.7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ht="15.7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ht="15.7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ht="15.7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ht="15.7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ht="15.7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ht="15.7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ht="15.7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ht="15.7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ht="15.7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ht="15.7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ht="15.7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ht="15.7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ht="15.7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ht="15.7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ht="15.7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ht="15.7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ht="15.7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ht="15.7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ht="15.7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ht="15.7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ht="15.7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ht="15.7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ht="15.7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ht="15.7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ht="15.7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ht="15.7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ht="15.7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ht="15.7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ht="15.7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ht="15.7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ht="15.7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ht="15.7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ht="15.7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ht="15.7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ht="15.7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ht="15.7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ht="15.7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ht="15.7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ht="15.7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ht="15.7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ht="15.7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ht="15.7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ht="15.7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ht="15.7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ht="15.7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ht="15.7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ht="15.7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ht="15.7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ht="15.7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ht="15.7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ht="15.7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ht="15.7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ht="15.7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ht="15.7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ht="15.7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ht="15.7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ht="15.7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ht="15.7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ht="15.7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ht="15.7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ht="15.7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ht="15.7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ht="15.7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ht="15.7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ht="15.7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ht="15.7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ht="15.7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ht="15.7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ht="15.7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ht="15.7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ht="15.7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ht="15.7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ht="15.7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ht="15.7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ht="15.7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ht="15.7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ht="15.7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ht="15.7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ht="15.7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ht="15.7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ht="15.7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ht="15.7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ht="15.7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ht="15.7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ht="15.7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ht="15.7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ht="15.7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ht="15.7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ht="15.7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ht="15.7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ht="15.7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ht="15.7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ht="15.7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ht="15.7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ht="15.7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ht="15.7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ht="15.7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ht="15.7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ht="15.7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ht="15.7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ht="15.7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ht="15.7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ht="15.7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ht="15.7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ht="15.7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ht="15.7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ht="15.7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ht="15.7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ht="15.7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ht="15.7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ht="15.7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ht="15.7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ht="15.7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ht="15.7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ht="15.7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ht="15.7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ht="15.7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ht="15.7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ht="15.7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ht="15.7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ht="15.7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ht="15.7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ht="15.7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ht="15.7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ht="15.7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ht="15.7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ht="15.7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ht="15.7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ht="15.7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ht="15.7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ht="15.7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ht="15.7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ht="15.7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ht="15.7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ht="15.7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ht="15.7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ht="15.7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ht="15.7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ht="15.7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ht="15.7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ht="15.7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ht="15.7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ht="15.7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ht="15.7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ht="15.7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ht="15.7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ht="15.7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ht="15.7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ht="15.7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ht="15.7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ht="15.7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ht="15.7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ht="15.7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ht="15.7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ht="15.7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ht="15.7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ht="15.7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ht="15.7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ht="15.7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ht="15.7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ht="15.7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ht="15.7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ht="15.7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ht="15.7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ht="15.7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ht="15.7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ht="15.7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ht="15.7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ht="15.7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ht="15.7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ht="15.7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ht="15.7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ht="15.7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ht="15.7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ht="15.7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ht="15.7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ht="15.7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ht="15.7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ht="15.7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ht="15.7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ht="15.7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ht="15.7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ht="15.7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ht="15.7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ht="15.7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ht="15.7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ht="15.7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ht="15.7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ht="15.7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ht="15.7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ht="15.7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ht="15.7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ht="15.7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ht="15.7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ht="15.7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ht="15.7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ht="15.7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ht="15.7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ht="15.7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ht="15.7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ht="15.7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ht="15.7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ht="15.7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ht="15.7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ht="15.7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ht="15.7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ht="15.7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ht="15.7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ht="15.7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ht="15.7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ht="15.7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ht="15.7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ht="15.7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ht="15.7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ht="15.7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ht="15.7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ht="15.7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ht="15.7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ht="15.7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ht="15.7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ht="15.7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ht="15.7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ht="15.7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ht="15.7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ht="15.7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ht="15.7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ht="15.7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ht="15.7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ht="15.7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ht="15.7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ht="15.7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ht="15.7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ht="15.7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ht="15.7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ht="15.7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ht="15.7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ht="15.7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ht="15.7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ht="15.7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ht="15.7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ht="15.7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ht="15.7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ht="15.7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ht="15.7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ht="15.7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ht="15.7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ht="15.7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ht="15.7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ht="15.7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ht="15.7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ht="15.7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ht="15.7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ht="15.7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ht="15.7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ht="15.7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ht="15.7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ht="15.7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ht="15.7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ht="15.7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ht="15.7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ht="15.7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ht="15.7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ht="15.7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ht="15.7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ht="15.7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ht="15.7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ht="15.7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ht="15.7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ht="15.7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ht="15.7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ht="15.7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ht="15.7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ht="15.7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ht="15.7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ht="15.7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ht="15.7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ht="15.7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ht="15.7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ht="15.7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ht="15.7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ht="15.7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ht="15.7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ht="15.7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ht="15.7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ht="15.7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ht="15.7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ht="15.7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ht="15.7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ht="15.7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ht="15.7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ht="15.7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ht="15.7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ht="15.7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ht="15.7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ht="15.7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ht="15.7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ht="15.7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ht="15.7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ht="15.7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ht="15.7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ht="15.7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ht="15.7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ht="15.7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ht="15.7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ht="15.7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ht="15.7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ht="15.7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ht="15.7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ht="15.7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ht="15.7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ht="15.7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ht="15.7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ht="15.7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ht="15.7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ht="15.7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ht="15.7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ht="15.7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ht="15.7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ht="15.7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ht="15.7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ht="15.7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ht="15.7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ht="15.7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ht="15.7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ht="15.7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ht="15.7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ht="15.7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ht="15.7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ht="15.7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ht="15.7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ht="15.7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ht="15.7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ht="15.7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ht="15.7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ht="15.7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ht="15.7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ht="15.7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ht="15.7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ht="15.7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ht="15.7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ht="15.7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ht="15.7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ht="15.7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ht="15.7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ht="15.7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ht="15.7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ht="15.7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ht="15.7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ht="15.7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ht="15.7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ht="15.7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ht="15.7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ht="15.7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ht="15.7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ht="15.7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ht="15.7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ht="15.7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ht="15.7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ht="15.7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ht="15.7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ht="15.7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ht="15.7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ht="15.7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ht="15.7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ht="15.7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ht="15.7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ht="15.7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ht="15.7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ht="15.7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ht="15.7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ht="15.7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ht="15.7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ht="15.7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ht="15.7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ht="15.7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ht="15.7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ht="15.7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ht="15.7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ht="15.7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ht="15.7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ht="15.7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ht="15.7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ht="15.7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ht="15.7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ht="15.7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ht="15.7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ht="15.7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ht="15.7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ht="15.7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ht="15.7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ht="15.7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ht="15.7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ht="15.7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ht="15.7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ht="15.7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ht="15.7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ht="15.7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ht="15.7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ht="15.7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ht="15.7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ht="15.7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ht="15.7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ht="15.7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ht="15.7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ht="15.7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ht="15.7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ht="15.7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ht="15.7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ht="15.7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ht="15.7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ht="15.7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ht="15.7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ht="15.7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ht="15.7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ht="15.7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ht="15.7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ht="15.7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ht="15.7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ht="15.7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ht="15.7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ht="15.7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ht="15.7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ht="15.7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ht="15.7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ht="15.7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ht="15.7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ht="15.7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ht="15.7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ht="15.7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ht="15.7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ht="15.7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ht="15.7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ht="15.7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ht="15.7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ht="15.7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ht="15.7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ht="15.7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ht="15.7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ht="15.7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ht="15.7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ht="15.7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ht="15.7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ht="15.7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ht="15.7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ht="15.7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ht="15.7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ht="15.7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ht="15.7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ht="15.7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ht="15.7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ht="15.7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ht="15.7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ht="15.7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ht="15.7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ht="15.7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ht="15.7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ht="15.7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ht="15.7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ht="15.7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ht="15.7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ht="15.7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ht="15.7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ht="15.75"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ht="15.75"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ht="15.75"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ht="15.75" customHeight="1">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ht="15.75" customHeight="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ht="15.75" customHeight="1">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ht="15.75" customHeight="1">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ht="15.75" customHeight="1">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ht="15.75" customHeight="1">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ht="15.75" customHeight="1">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ht="15.75" customHeight="1">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ht="15.75" customHeight="1">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ht="15.75" customHeight="1">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ht="15.75" customHeight="1">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0.0"/>
    <col customWidth="1" min="2" max="2" width="45.0"/>
    <col customWidth="1" min="3" max="3" width="20.0"/>
    <col customWidth="1" min="4" max="4" width="28.0"/>
    <col customWidth="1" min="5" max="5" width="55.0"/>
    <col customWidth="1" min="6" max="6" width="14.0"/>
  </cols>
  <sheetData>
    <row r="1" ht="19.5" customHeight="1">
      <c r="A1" s="2" t="s">
        <v>1</v>
      </c>
      <c r="B1" s="2" t="s">
        <v>5</v>
      </c>
      <c r="C1" s="2" t="s">
        <v>6</v>
      </c>
      <c r="D1" s="2" t="s">
        <v>7</v>
      </c>
      <c r="E1" s="2" t="s">
        <v>8</v>
      </c>
      <c r="F1" s="2" t="s">
        <v>9</v>
      </c>
      <c r="G1" s="5"/>
      <c r="H1" s="5"/>
      <c r="I1" s="5"/>
      <c r="J1" s="5"/>
      <c r="K1" s="5"/>
      <c r="L1" s="5"/>
      <c r="M1" s="5"/>
      <c r="N1" s="5"/>
      <c r="O1" s="5"/>
      <c r="P1" s="5"/>
      <c r="Q1" s="5"/>
      <c r="R1" s="5"/>
      <c r="S1" s="5"/>
      <c r="T1" s="5"/>
      <c r="U1" s="5"/>
      <c r="V1" s="5"/>
      <c r="W1" s="5"/>
      <c r="X1" s="5"/>
      <c r="Y1" s="5"/>
      <c r="Z1" s="5"/>
    </row>
    <row r="2">
      <c r="A2" s="7" t="s">
        <v>0</v>
      </c>
      <c r="B2" s="7" t="s">
        <v>29</v>
      </c>
      <c r="C2" s="7" t="s">
        <v>31</v>
      </c>
      <c r="D2" s="7" t="s">
        <v>34</v>
      </c>
      <c r="E2" s="8" t="s">
        <v>40</v>
      </c>
      <c r="F2" s="7" t="s">
        <v>49</v>
      </c>
      <c r="G2" s="5"/>
      <c r="H2" s="5"/>
      <c r="I2" s="5"/>
      <c r="J2" s="5"/>
      <c r="K2" s="5"/>
      <c r="L2" s="5"/>
      <c r="M2" s="5"/>
      <c r="N2" s="5"/>
      <c r="O2" s="5"/>
      <c r="P2" s="5"/>
      <c r="Q2" s="5"/>
      <c r="R2" s="5"/>
      <c r="S2" s="5"/>
      <c r="T2" s="5"/>
      <c r="U2" s="5"/>
      <c r="V2" s="5"/>
      <c r="W2" s="5"/>
      <c r="X2" s="5"/>
      <c r="Y2" s="5"/>
      <c r="Z2" s="5"/>
    </row>
    <row r="3">
      <c r="A3" s="7" t="s">
        <v>3</v>
      </c>
      <c r="B3" s="7" t="s">
        <v>62</v>
      </c>
      <c r="C3" s="7" t="s">
        <v>64</v>
      </c>
      <c r="D3" s="7" t="s">
        <v>66</v>
      </c>
      <c r="E3" s="7" t="s">
        <v>69</v>
      </c>
      <c r="F3" s="11" t="s">
        <v>72</v>
      </c>
      <c r="G3" s="5"/>
      <c r="H3" s="5"/>
      <c r="I3" s="5"/>
      <c r="J3" s="5"/>
      <c r="K3" s="5"/>
      <c r="L3" s="5"/>
      <c r="M3" s="5"/>
      <c r="N3" s="5"/>
      <c r="O3" s="5"/>
      <c r="P3" s="5"/>
      <c r="Q3" s="5"/>
      <c r="R3" s="5"/>
      <c r="S3" s="5"/>
      <c r="T3" s="5"/>
      <c r="U3" s="5"/>
      <c r="V3" s="5"/>
      <c r="W3" s="5"/>
      <c r="X3" s="5"/>
      <c r="Y3" s="5"/>
      <c r="Z3" s="5"/>
    </row>
    <row r="4">
      <c r="A4" s="7" t="s">
        <v>79</v>
      </c>
      <c r="B4" s="7" t="s">
        <v>81</v>
      </c>
      <c r="C4" s="7" t="s">
        <v>82</v>
      </c>
      <c r="D4" s="7" t="s">
        <v>83</v>
      </c>
      <c r="E4" s="7" t="s">
        <v>84</v>
      </c>
      <c r="F4" s="11" t="s">
        <v>72</v>
      </c>
      <c r="G4" s="5"/>
      <c r="H4" s="5"/>
      <c r="I4" s="5"/>
      <c r="J4" s="5"/>
      <c r="K4" s="5"/>
      <c r="L4" s="5"/>
      <c r="M4" s="5"/>
      <c r="N4" s="5"/>
      <c r="O4" s="5"/>
      <c r="P4" s="5"/>
      <c r="Q4" s="5"/>
      <c r="R4" s="5"/>
      <c r="S4" s="5"/>
      <c r="T4" s="5"/>
      <c r="U4" s="5"/>
      <c r="V4" s="5"/>
      <c r="W4" s="5"/>
      <c r="X4" s="5"/>
      <c r="Y4" s="5"/>
      <c r="Z4" s="5"/>
    </row>
    <row r="5">
      <c r="A5" s="7" t="s">
        <v>10</v>
      </c>
      <c r="B5" s="7" t="s">
        <v>99</v>
      </c>
      <c r="C5" s="7" t="s">
        <v>82</v>
      </c>
      <c r="D5" s="7" t="s">
        <v>101</v>
      </c>
      <c r="E5" s="7" t="s">
        <v>102</v>
      </c>
      <c r="F5" s="7" t="s">
        <v>88</v>
      </c>
      <c r="G5" s="5"/>
      <c r="H5" s="5"/>
      <c r="I5" s="5"/>
      <c r="J5" s="5"/>
      <c r="K5" s="5"/>
      <c r="L5" s="5"/>
      <c r="M5" s="5"/>
      <c r="N5" s="5"/>
      <c r="O5" s="5"/>
      <c r="P5" s="5"/>
      <c r="Q5" s="5"/>
      <c r="R5" s="5"/>
      <c r="S5" s="5"/>
      <c r="T5" s="5"/>
      <c r="U5" s="5"/>
      <c r="V5" s="5"/>
      <c r="W5" s="5"/>
      <c r="X5" s="5"/>
      <c r="Y5" s="5"/>
      <c r="Z5" s="5"/>
    </row>
    <row r="6">
      <c r="A6" s="7" t="s">
        <v>11</v>
      </c>
      <c r="B6" s="7" t="s">
        <v>107</v>
      </c>
      <c r="C6" s="7" t="s">
        <v>108</v>
      </c>
      <c r="D6" s="7" t="s">
        <v>66</v>
      </c>
      <c r="E6" s="7" t="s">
        <v>109</v>
      </c>
      <c r="F6" s="7" t="s">
        <v>49</v>
      </c>
      <c r="G6" s="5"/>
      <c r="H6" s="5"/>
      <c r="I6" s="5"/>
      <c r="J6" s="5"/>
      <c r="K6" s="5"/>
      <c r="L6" s="5"/>
      <c r="M6" s="5"/>
      <c r="N6" s="5"/>
      <c r="O6" s="5"/>
      <c r="P6" s="5"/>
      <c r="Q6" s="5"/>
      <c r="R6" s="5"/>
      <c r="S6" s="5"/>
      <c r="T6" s="5"/>
      <c r="U6" s="5"/>
      <c r="V6" s="5"/>
      <c r="W6" s="5"/>
      <c r="X6" s="5"/>
      <c r="Y6" s="5"/>
      <c r="Z6" s="5"/>
    </row>
    <row r="7">
      <c r="A7" s="7" t="s">
        <v>12</v>
      </c>
      <c r="B7" s="7" t="s">
        <v>111</v>
      </c>
      <c r="C7" s="7" t="s">
        <v>112</v>
      </c>
      <c r="D7" s="7" t="s">
        <v>113</v>
      </c>
      <c r="E7" s="7" t="s">
        <v>114</v>
      </c>
      <c r="F7" s="7" t="s">
        <v>49</v>
      </c>
      <c r="G7" s="5"/>
      <c r="H7" s="5"/>
      <c r="I7" s="5"/>
      <c r="J7" s="5"/>
      <c r="K7" s="5"/>
      <c r="L7" s="5"/>
      <c r="M7" s="5"/>
      <c r="N7" s="5"/>
      <c r="O7" s="5"/>
      <c r="P7" s="5"/>
      <c r="Q7" s="5"/>
      <c r="R7" s="5"/>
      <c r="S7" s="5"/>
      <c r="T7" s="5"/>
      <c r="U7" s="5"/>
      <c r="V7" s="5"/>
      <c r="W7" s="5"/>
      <c r="X7" s="5"/>
      <c r="Y7" s="5"/>
      <c r="Z7" s="5"/>
    </row>
    <row r="8">
      <c r="A8" s="7" t="s">
        <v>13</v>
      </c>
      <c r="B8" s="8" t="s">
        <v>119</v>
      </c>
      <c r="C8" s="7" t="s">
        <v>120</v>
      </c>
      <c r="D8" s="7" t="s">
        <v>121</v>
      </c>
      <c r="E8" s="8" t="s">
        <v>122</v>
      </c>
      <c r="F8" s="7" t="s">
        <v>49</v>
      </c>
      <c r="G8" s="5"/>
      <c r="H8" s="5"/>
      <c r="I8" s="5"/>
      <c r="J8" s="5"/>
      <c r="K8" s="5"/>
      <c r="L8" s="5"/>
      <c r="M8" s="5"/>
      <c r="N8" s="5"/>
      <c r="O8" s="5"/>
      <c r="P8" s="5"/>
      <c r="Q8" s="5"/>
      <c r="R8" s="5"/>
      <c r="S8" s="5"/>
      <c r="T8" s="5"/>
      <c r="U8" s="5"/>
      <c r="V8" s="5"/>
      <c r="W8" s="5"/>
      <c r="X8" s="5"/>
      <c r="Y8" s="5"/>
      <c r="Z8" s="5"/>
    </row>
    <row r="9">
      <c r="A9" s="7" t="s">
        <v>14</v>
      </c>
      <c r="B9" s="7" t="s">
        <v>129</v>
      </c>
      <c r="C9" s="7" t="s">
        <v>131</v>
      </c>
      <c r="D9" s="7" t="s">
        <v>132</v>
      </c>
      <c r="E9" s="7" t="s">
        <v>133</v>
      </c>
      <c r="F9" s="7" t="s">
        <v>88</v>
      </c>
      <c r="G9" s="5"/>
      <c r="H9" s="5"/>
      <c r="I9" s="5"/>
      <c r="J9" s="5"/>
      <c r="K9" s="5"/>
      <c r="L9" s="5"/>
      <c r="M9" s="5"/>
      <c r="N9" s="5"/>
      <c r="O9" s="5"/>
      <c r="P9" s="5"/>
      <c r="Q9" s="5"/>
      <c r="R9" s="5"/>
      <c r="S9" s="5"/>
      <c r="T9" s="5"/>
      <c r="U9" s="5"/>
      <c r="V9" s="5"/>
      <c r="W9" s="5"/>
      <c r="X9" s="5"/>
      <c r="Y9" s="5"/>
      <c r="Z9" s="5"/>
    </row>
    <row r="10">
      <c r="A10" s="7" t="s">
        <v>16</v>
      </c>
      <c r="B10" s="7" t="s">
        <v>141</v>
      </c>
      <c r="C10" s="7" t="s">
        <v>142</v>
      </c>
      <c r="D10" s="7" t="s">
        <v>128</v>
      </c>
      <c r="E10" s="7" t="s">
        <v>133</v>
      </c>
      <c r="F10" s="7" t="s">
        <v>88</v>
      </c>
      <c r="G10" s="5"/>
      <c r="H10" s="5"/>
      <c r="I10" s="5"/>
      <c r="J10" s="5"/>
      <c r="K10" s="5"/>
      <c r="L10" s="5"/>
      <c r="M10" s="5"/>
      <c r="N10" s="5"/>
      <c r="O10" s="5"/>
      <c r="P10" s="5"/>
      <c r="Q10" s="5"/>
      <c r="R10" s="5"/>
      <c r="S10" s="5"/>
      <c r="T10" s="5"/>
      <c r="U10" s="5"/>
      <c r="V10" s="5"/>
      <c r="W10" s="5"/>
      <c r="X10" s="5"/>
      <c r="Y10" s="5"/>
      <c r="Z10" s="5"/>
    </row>
    <row r="11">
      <c r="A11" s="7" t="s">
        <v>17</v>
      </c>
      <c r="B11" s="7" t="s">
        <v>147</v>
      </c>
      <c r="C11" s="7" t="s">
        <v>148</v>
      </c>
      <c r="D11" s="7" t="s">
        <v>149</v>
      </c>
      <c r="E11" s="7" t="s">
        <v>133</v>
      </c>
      <c r="F11" s="7" t="s">
        <v>88</v>
      </c>
      <c r="G11" s="5"/>
      <c r="H11" s="5"/>
      <c r="I11" s="5"/>
      <c r="J11" s="5"/>
      <c r="K11" s="5"/>
      <c r="L11" s="5"/>
      <c r="M11" s="5"/>
      <c r="N11" s="5"/>
      <c r="O11" s="5"/>
      <c r="P11" s="5"/>
      <c r="Q11" s="5"/>
      <c r="R11" s="5"/>
      <c r="S11" s="5"/>
      <c r="T11" s="5"/>
      <c r="U11" s="5"/>
      <c r="V11" s="5"/>
      <c r="W11" s="5"/>
      <c r="X11" s="5"/>
      <c r="Y11" s="5"/>
      <c r="Z11" s="5"/>
    </row>
    <row r="12">
      <c r="A12" s="7" t="s">
        <v>18</v>
      </c>
      <c r="B12" s="7" t="s">
        <v>154</v>
      </c>
      <c r="C12" s="7" t="s">
        <v>148</v>
      </c>
      <c r="D12" s="7" t="s">
        <v>156</v>
      </c>
      <c r="E12" s="7" t="s">
        <v>133</v>
      </c>
      <c r="F12" s="7" t="s">
        <v>88</v>
      </c>
      <c r="G12" s="5"/>
      <c r="H12" s="5"/>
      <c r="I12" s="5"/>
      <c r="J12" s="5"/>
      <c r="K12" s="5"/>
      <c r="L12" s="5"/>
      <c r="M12" s="5"/>
      <c r="N12" s="5"/>
      <c r="O12" s="5"/>
      <c r="P12" s="5"/>
      <c r="Q12" s="5"/>
      <c r="R12" s="5"/>
      <c r="S12" s="5"/>
      <c r="T12" s="5"/>
      <c r="U12" s="5"/>
      <c r="V12" s="5"/>
      <c r="W12" s="5"/>
      <c r="X12" s="5"/>
      <c r="Y12" s="5"/>
      <c r="Z12" s="5"/>
    </row>
    <row r="13">
      <c r="A13" s="7" t="s">
        <v>19</v>
      </c>
      <c r="B13" s="7" t="s">
        <v>159</v>
      </c>
      <c r="C13" s="7" t="s">
        <v>148</v>
      </c>
      <c r="D13" s="7" t="s">
        <v>160</v>
      </c>
      <c r="E13" s="7" t="s">
        <v>133</v>
      </c>
      <c r="F13" s="7" t="s">
        <v>88</v>
      </c>
      <c r="G13" s="5"/>
      <c r="H13" s="5"/>
      <c r="I13" s="5"/>
      <c r="J13" s="5"/>
      <c r="K13" s="5"/>
      <c r="L13" s="5"/>
      <c r="M13" s="5"/>
      <c r="N13" s="5"/>
      <c r="O13" s="5"/>
      <c r="P13" s="5"/>
      <c r="Q13" s="5"/>
      <c r="R13" s="5"/>
      <c r="S13" s="5"/>
      <c r="T13" s="5"/>
      <c r="U13" s="5"/>
      <c r="V13" s="5"/>
      <c r="W13" s="5"/>
      <c r="X13" s="5"/>
      <c r="Y13" s="5"/>
      <c r="Z13" s="5"/>
    </row>
    <row r="14">
      <c r="A14" s="7" t="s">
        <v>20</v>
      </c>
      <c r="B14" s="7" t="s">
        <v>163</v>
      </c>
      <c r="C14" s="7" t="s">
        <v>164</v>
      </c>
      <c r="D14" s="7" t="s">
        <v>72</v>
      </c>
      <c r="E14" s="7" t="s">
        <v>133</v>
      </c>
      <c r="F14" s="7" t="s">
        <v>88</v>
      </c>
      <c r="G14" s="5"/>
      <c r="H14" s="5"/>
      <c r="I14" s="5"/>
      <c r="J14" s="5"/>
      <c r="K14" s="5"/>
      <c r="L14" s="5"/>
      <c r="M14" s="5"/>
      <c r="N14" s="5"/>
      <c r="O14" s="5"/>
      <c r="P14" s="5"/>
      <c r="Q14" s="5"/>
      <c r="R14" s="5"/>
      <c r="S14" s="5"/>
      <c r="T14" s="5"/>
      <c r="U14" s="5"/>
      <c r="V14" s="5"/>
      <c r="W14" s="5"/>
      <c r="X14" s="5"/>
      <c r="Y14" s="5"/>
      <c r="Z14" s="5"/>
    </row>
    <row r="15">
      <c r="A15" s="7" t="s">
        <v>168</v>
      </c>
      <c r="B15" s="8" t="s">
        <v>169</v>
      </c>
      <c r="C15" s="7" t="s">
        <v>82</v>
      </c>
      <c r="D15" s="7" t="s">
        <v>170</v>
      </c>
      <c r="E15" s="7" t="s">
        <v>171</v>
      </c>
      <c r="F15" s="11" t="s">
        <v>72</v>
      </c>
      <c r="G15" s="5"/>
      <c r="H15" s="5"/>
      <c r="I15" s="5"/>
      <c r="J15" s="5"/>
      <c r="K15" s="5"/>
      <c r="L15" s="5"/>
      <c r="M15" s="5"/>
      <c r="N15" s="5"/>
      <c r="O15" s="5"/>
      <c r="P15" s="5"/>
      <c r="Q15" s="5"/>
      <c r="R15" s="5"/>
      <c r="S15" s="5"/>
      <c r="T15" s="5"/>
      <c r="U15" s="5"/>
      <c r="V15" s="5"/>
      <c r="W15" s="5"/>
      <c r="X15" s="5"/>
      <c r="Y15" s="5"/>
      <c r="Z15" s="5"/>
    </row>
    <row r="16">
      <c r="A16" s="7" t="s">
        <v>173</v>
      </c>
      <c r="B16" s="8" t="s">
        <v>175</v>
      </c>
      <c r="C16" s="7" t="s">
        <v>178</v>
      </c>
      <c r="D16" s="7" t="s">
        <v>179</v>
      </c>
      <c r="E16" s="7" t="s">
        <v>180</v>
      </c>
      <c r="F16" s="11" t="s">
        <v>72</v>
      </c>
      <c r="G16" s="5"/>
      <c r="H16" s="5"/>
      <c r="I16" s="5"/>
      <c r="J16" s="5"/>
      <c r="K16" s="5"/>
      <c r="L16" s="5"/>
      <c r="M16" s="5"/>
      <c r="N16" s="5"/>
      <c r="O16" s="5"/>
      <c r="P16" s="5"/>
      <c r="Q16" s="5"/>
      <c r="R16" s="5"/>
      <c r="S16" s="5"/>
      <c r="T16" s="5"/>
      <c r="U16" s="5"/>
      <c r="V16" s="5"/>
      <c r="W16" s="5"/>
      <c r="X16" s="5"/>
      <c r="Y16" s="5"/>
      <c r="Z16" s="5"/>
    </row>
    <row r="17">
      <c r="A17" s="7" t="s">
        <v>28</v>
      </c>
      <c r="B17" s="7" t="s">
        <v>184</v>
      </c>
      <c r="C17" s="7" t="s">
        <v>186</v>
      </c>
      <c r="D17" s="7" t="s">
        <v>187</v>
      </c>
      <c r="E17" s="7" t="s">
        <v>188</v>
      </c>
      <c r="F17" s="7" t="s">
        <v>88</v>
      </c>
      <c r="G17" s="5"/>
      <c r="H17" s="5"/>
      <c r="I17" s="5"/>
      <c r="J17" s="5"/>
      <c r="K17" s="5"/>
      <c r="L17" s="5"/>
      <c r="M17" s="5"/>
      <c r="N17" s="5"/>
      <c r="O17" s="5"/>
      <c r="P17" s="5"/>
      <c r="Q17" s="5"/>
      <c r="R17" s="5"/>
      <c r="S17" s="5"/>
      <c r="T17" s="5"/>
      <c r="U17" s="5"/>
      <c r="V17" s="5"/>
      <c r="W17" s="5"/>
      <c r="X17" s="5"/>
      <c r="Y17" s="5"/>
      <c r="Z17" s="5"/>
    </row>
    <row r="18">
      <c r="A18" s="7" t="s">
        <v>30</v>
      </c>
      <c r="B18" s="7" t="s">
        <v>194</v>
      </c>
      <c r="C18" s="7" t="s">
        <v>82</v>
      </c>
      <c r="D18" s="7" t="s">
        <v>198</v>
      </c>
      <c r="E18" s="7" t="s">
        <v>202</v>
      </c>
      <c r="F18" s="7" t="s">
        <v>88</v>
      </c>
      <c r="G18" s="5"/>
      <c r="H18" s="5"/>
      <c r="I18" s="5"/>
      <c r="J18" s="5"/>
      <c r="K18" s="5"/>
      <c r="L18" s="5"/>
      <c r="M18" s="5"/>
      <c r="N18" s="5"/>
      <c r="O18" s="5"/>
      <c r="P18" s="5"/>
      <c r="Q18" s="5"/>
      <c r="R18" s="5"/>
      <c r="S18" s="5"/>
      <c r="T18" s="5"/>
      <c r="U18" s="5"/>
      <c r="V18" s="5"/>
      <c r="W18" s="5"/>
      <c r="X18" s="5"/>
      <c r="Y18" s="5"/>
      <c r="Z18" s="5"/>
    </row>
    <row r="19">
      <c r="A19" s="7" t="s">
        <v>33</v>
      </c>
      <c r="B19" s="7" t="s">
        <v>207</v>
      </c>
      <c r="C19" s="7" t="s">
        <v>112</v>
      </c>
      <c r="D19" s="7" t="s">
        <v>208</v>
      </c>
      <c r="E19" s="7" t="s">
        <v>210</v>
      </c>
      <c r="F19" s="11" t="s">
        <v>72</v>
      </c>
      <c r="G19" s="5"/>
      <c r="H19" s="5"/>
      <c r="I19" s="5"/>
      <c r="J19" s="5"/>
      <c r="K19" s="5"/>
      <c r="L19" s="5"/>
      <c r="M19" s="5"/>
      <c r="N19" s="5"/>
      <c r="O19" s="5"/>
      <c r="P19" s="5"/>
      <c r="Q19" s="5"/>
      <c r="R19" s="5"/>
      <c r="S19" s="5"/>
      <c r="T19" s="5"/>
      <c r="U19" s="5"/>
      <c r="V19" s="5"/>
      <c r="W19" s="5"/>
      <c r="X19" s="5"/>
      <c r="Y19" s="5"/>
      <c r="Z19" s="5"/>
    </row>
    <row r="20">
      <c r="A20" s="7" t="s">
        <v>35</v>
      </c>
      <c r="B20" s="7" t="s">
        <v>214</v>
      </c>
      <c r="C20" s="7" t="s">
        <v>215</v>
      </c>
      <c r="D20" s="7" t="s">
        <v>216</v>
      </c>
      <c r="E20" s="7" t="s">
        <v>217</v>
      </c>
      <c r="F20" s="11" t="s">
        <v>72</v>
      </c>
      <c r="G20" s="5"/>
      <c r="H20" s="5"/>
      <c r="I20" s="5"/>
      <c r="J20" s="5"/>
      <c r="K20" s="5"/>
      <c r="L20" s="5"/>
      <c r="M20" s="5"/>
      <c r="N20" s="5"/>
      <c r="O20" s="5"/>
      <c r="P20" s="5"/>
      <c r="Q20" s="5"/>
      <c r="R20" s="5"/>
      <c r="S20" s="5"/>
      <c r="T20" s="5"/>
      <c r="U20" s="5"/>
      <c r="V20" s="5"/>
      <c r="W20" s="5"/>
      <c r="X20" s="5"/>
      <c r="Y20" s="5"/>
      <c r="Z20" s="5"/>
    </row>
    <row r="21" ht="15.75" customHeight="1">
      <c r="A21" s="7" t="s">
        <v>36</v>
      </c>
      <c r="B21" s="7" t="s">
        <v>220</v>
      </c>
      <c r="C21" s="7" t="s">
        <v>215</v>
      </c>
      <c r="D21" s="7" t="s">
        <v>221</v>
      </c>
      <c r="E21" s="7" t="s">
        <v>222</v>
      </c>
      <c r="F21" s="11" t="s">
        <v>72</v>
      </c>
      <c r="G21" s="5"/>
      <c r="H21" s="5"/>
      <c r="I21" s="5"/>
      <c r="J21" s="5"/>
      <c r="K21" s="5"/>
      <c r="L21" s="5"/>
      <c r="M21" s="5"/>
      <c r="N21" s="5"/>
      <c r="O21" s="5"/>
      <c r="P21" s="5"/>
      <c r="Q21" s="5"/>
      <c r="R21" s="5"/>
      <c r="S21" s="5"/>
      <c r="T21" s="5"/>
      <c r="U21" s="5"/>
      <c r="V21" s="5"/>
      <c r="W21" s="5"/>
      <c r="X21" s="5"/>
      <c r="Y21" s="5"/>
      <c r="Z21" s="5"/>
    </row>
    <row r="22" ht="15.75" customHeight="1">
      <c r="A22" s="7" t="s">
        <v>38</v>
      </c>
      <c r="B22" s="7" t="s">
        <v>233</v>
      </c>
      <c r="C22" s="7" t="s">
        <v>234</v>
      </c>
      <c r="D22" s="7" t="s">
        <v>235</v>
      </c>
      <c r="E22" s="7" t="s">
        <v>236</v>
      </c>
      <c r="F22" s="11" t="s">
        <v>72</v>
      </c>
      <c r="G22" s="5"/>
      <c r="H22" s="5"/>
      <c r="I22" s="5"/>
      <c r="J22" s="5"/>
      <c r="K22" s="5"/>
      <c r="L22" s="5"/>
      <c r="M22" s="5"/>
      <c r="N22" s="5"/>
      <c r="O22" s="5"/>
      <c r="P22" s="5"/>
      <c r="Q22" s="5"/>
      <c r="R22" s="5"/>
      <c r="S22" s="5"/>
      <c r="T22" s="5"/>
      <c r="U22" s="5"/>
      <c r="V22" s="5"/>
      <c r="W22" s="5"/>
      <c r="X22" s="5"/>
      <c r="Y22" s="5"/>
      <c r="Z22" s="5"/>
    </row>
    <row r="23" ht="15.75" customHeight="1">
      <c r="A23" s="7" t="s">
        <v>39</v>
      </c>
      <c r="B23" s="7" t="s">
        <v>239</v>
      </c>
      <c r="C23" s="7" t="s">
        <v>131</v>
      </c>
      <c r="D23" s="7" t="s">
        <v>241</v>
      </c>
      <c r="E23" s="7" t="s">
        <v>245</v>
      </c>
      <c r="F23" s="11" t="s">
        <v>72</v>
      </c>
      <c r="G23" s="5"/>
      <c r="H23" s="5"/>
      <c r="I23" s="5"/>
      <c r="J23" s="5"/>
      <c r="K23" s="5"/>
      <c r="L23" s="5"/>
      <c r="M23" s="5"/>
      <c r="N23" s="5"/>
      <c r="O23" s="5"/>
      <c r="P23" s="5"/>
      <c r="Q23" s="5"/>
      <c r="R23" s="5"/>
      <c r="S23" s="5"/>
      <c r="T23" s="5"/>
      <c r="U23" s="5"/>
      <c r="V23" s="5"/>
      <c r="W23" s="5"/>
      <c r="X23" s="5"/>
      <c r="Y23" s="5"/>
      <c r="Z23" s="5"/>
    </row>
    <row r="24" ht="15.75" customHeight="1">
      <c r="A24" s="7" t="s">
        <v>42</v>
      </c>
      <c r="B24" s="7" t="s">
        <v>251</v>
      </c>
      <c r="C24" s="7" t="s">
        <v>252</v>
      </c>
      <c r="D24" s="7" t="s">
        <v>253</v>
      </c>
      <c r="E24" s="7" t="s">
        <v>245</v>
      </c>
      <c r="F24" s="7" t="s">
        <v>88</v>
      </c>
      <c r="G24" s="5"/>
      <c r="H24" s="5"/>
      <c r="I24" s="5"/>
      <c r="J24" s="5"/>
      <c r="K24" s="5"/>
      <c r="L24" s="5"/>
      <c r="M24" s="5"/>
      <c r="N24" s="5"/>
      <c r="O24" s="5"/>
      <c r="P24" s="5"/>
      <c r="Q24" s="5"/>
      <c r="R24" s="5"/>
      <c r="S24" s="5"/>
      <c r="T24" s="5"/>
      <c r="U24" s="5"/>
      <c r="V24" s="5"/>
      <c r="W24" s="5"/>
      <c r="X24" s="5"/>
      <c r="Y24" s="5"/>
      <c r="Z24" s="5"/>
    </row>
    <row r="25" ht="15.75" customHeight="1">
      <c r="A25" s="7" t="s">
        <v>43</v>
      </c>
      <c r="B25" s="7" t="s">
        <v>255</v>
      </c>
      <c r="C25" s="7" t="s">
        <v>258</v>
      </c>
      <c r="D25" s="7" t="s">
        <v>260</v>
      </c>
      <c r="E25" s="7" t="s">
        <v>262</v>
      </c>
      <c r="F25" s="7" t="s">
        <v>88</v>
      </c>
      <c r="G25" s="5"/>
      <c r="H25" s="5"/>
      <c r="I25" s="5"/>
      <c r="J25" s="5"/>
      <c r="K25" s="5"/>
      <c r="L25" s="5"/>
      <c r="M25" s="5"/>
      <c r="N25" s="5"/>
      <c r="O25" s="5"/>
      <c r="P25" s="5"/>
      <c r="Q25" s="5"/>
      <c r="R25" s="5"/>
      <c r="S25" s="5"/>
      <c r="T25" s="5"/>
      <c r="U25" s="5"/>
      <c r="V25" s="5"/>
      <c r="W25" s="5"/>
      <c r="X25" s="5"/>
      <c r="Y25" s="5"/>
      <c r="Z25" s="5"/>
    </row>
    <row r="26" ht="15.75" customHeight="1">
      <c r="A26" s="7" t="s">
        <v>45</v>
      </c>
      <c r="B26" s="7" t="s">
        <v>267</v>
      </c>
      <c r="C26" s="7" t="s">
        <v>268</v>
      </c>
      <c r="D26" s="7" t="s">
        <v>269</v>
      </c>
      <c r="E26" s="7" t="s">
        <v>270</v>
      </c>
      <c r="F26" s="7" t="s">
        <v>88</v>
      </c>
      <c r="G26" s="5"/>
      <c r="H26" s="5"/>
      <c r="I26" s="5"/>
      <c r="J26" s="5"/>
      <c r="K26" s="5"/>
      <c r="L26" s="5"/>
      <c r="M26" s="5"/>
      <c r="N26" s="5"/>
      <c r="O26" s="5"/>
      <c r="P26" s="5"/>
      <c r="Q26" s="5"/>
      <c r="R26" s="5"/>
      <c r="S26" s="5"/>
      <c r="T26" s="5"/>
      <c r="U26" s="5"/>
      <c r="V26" s="5"/>
      <c r="W26" s="5"/>
      <c r="X26" s="5"/>
      <c r="Y26" s="5"/>
      <c r="Z26" s="5"/>
    </row>
    <row r="27" ht="15.75" customHeight="1">
      <c r="A27" s="7" t="s">
        <v>47</v>
      </c>
      <c r="B27" s="7" t="s">
        <v>274</v>
      </c>
      <c r="C27" s="7" t="s">
        <v>275</v>
      </c>
      <c r="D27" s="7" t="s">
        <v>276</v>
      </c>
      <c r="E27" s="7" t="s">
        <v>270</v>
      </c>
      <c r="F27" s="7" t="s">
        <v>88</v>
      </c>
      <c r="G27" s="5"/>
      <c r="H27" s="5"/>
      <c r="I27" s="5"/>
      <c r="J27" s="5"/>
      <c r="K27" s="5"/>
      <c r="L27" s="5"/>
      <c r="M27" s="5"/>
      <c r="N27" s="5"/>
      <c r="O27" s="5"/>
      <c r="P27" s="5"/>
      <c r="Q27" s="5"/>
      <c r="R27" s="5"/>
      <c r="S27" s="5"/>
      <c r="T27" s="5"/>
      <c r="U27" s="5"/>
      <c r="V27" s="5"/>
      <c r="W27" s="5"/>
      <c r="X27" s="5"/>
      <c r="Y27" s="5"/>
      <c r="Z27" s="5"/>
    </row>
    <row r="28" ht="15.75" customHeight="1">
      <c r="A28" s="7" t="s">
        <v>50</v>
      </c>
      <c r="B28" s="8" t="s">
        <v>278</v>
      </c>
      <c r="C28" s="7" t="s">
        <v>279</v>
      </c>
      <c r="D28" s="7" t="s">
        <v>280</v>
      </c>
      <c r="E28" s="7" t="s">
        <v>281</v>
      </c>
      <c r="F28" s="11" t="s">
        <v>72</v>
      </c>
      <c r="G28" s="5"/>
      <c r="H28" s="5"/>
      <c r="I28" s="5"/>
      <c r="J28" s="5"/>
      <c r="K28" s="5"/>
      <c r="L28" s="5"/>
      <c r="M28" s="5"/>
      <c r="N28" s="5"/>
      <c r="O28" s="5"/>
      <c r="P28" s="5"/>
      <c r="Q28" s="5"/>
      <c r="R28" s="5"/>
      <c r="S28" s="5"/>
      <c r="T28" s="5"/>
      <c r="U28" s="5"/>
      <c r="V28" s="5"/>
      <c r="W28" s="5"/>
      <c r="X28" s="5"/>
      <c r="Y28" s="5"/>
      <c r="Z28" s="5"/>
    </row>
    <row r="29" ht="15.75" customHeight="1">
      <c r="A29" s="38" t="s">
        <v>51</v>
      </c>
      <c r="B29" s="38" t="s">
        <v>289</v>
      </c>
      <c r="C29" s="38" t="s">
        <v>291</v>
      </c>
      <c r="D29" s="38" t="s">
        <v>293</v>
      </c>
      <c r="E29" s="38" t="s">
        <v>295</v>
      </c>
      <c r="F29" s="39" t="s">
        <v>72</v>
      </c>
      <c r="G29" s="5"/>
      <c r="H29" s="5"/>
      <c r="I29" s="5"/>
      <c r="J29" s="5"/>
      <c r="K29" s="5"/>
      <c r="L29" s="5"/>
      <c r="M29" s="5"/>
      <c r="N29" s="5"/>
      <c r="O29" s="5"/>
      <c r="P29" s="5"/>
      <c r="Q29" s="5"/>
      <c r="R29" s="5"/>
      <c r="S29" s="5"/>
      <c r="T29" s="5"/>
      <c r="U29" s="5"/>
      <c r="V29" s="5"/>
      <c r="W29" s="5"/>
      <c r="X29" s="5"/>
      <c r="Y29" s="5"/>
      <c r="Z29" s="5"/>
    </row>
    <row r="30" ht="15.75" customHeight="1">
      <c r="A30" s="7" t="s">
        <v>53</v>
      </c>
      <c r="B30" s="7" t="s">
        <v>304</v>
      </c>
      <c r="C30" s="7" t="s">
        <v>82</v>
      </c>
      <c r="D30" s="7" t="s">
        <v>218</v>
      </c>
      <c r="E30" s="7" t="s">
        <v>308</v>
      </c>
      <c r="F30" s="7" t="s">
        <v>88</v>
      </c>
      <c r="G30" s="5"/>
      <c r="H30" s="5"/>
      <c r="I30" s="5"/>
      <c r="J30" s="5"/>
      <c r="K30" s="5"/>
      <c r="L30" s="5"/>
      <c r="M30" s="5"/>
      <c r="N30" s="5"/>
      <c r="O30" s="5"/>
      <c r="P30" s="5"/>
      <c r="Q30" s="5"/>
      <c r="R30" s="5"/>
      <c r="S30" s="5"/>
      <c r="T30" s="5"/>
      <c r="U30" s="5"/>
      <c r="V30" s="5"/>
      <c r="W30" s="5"/>
      <c r="X30" s="5"/>
      <c r="Y30" s="5"/>
      <c r="Z30" s="5"/>
    </row>
    <row r="31" ht="15.75" customHeight="1">
      <c r="A31" s="7" t="s">
        <v>55</v>
      </c>
      <c r="B31" s="7" t="s">
        <v>311</v>
      </c>
      <c r="C31" s="7" t="s">
        <v>313</v>
      </c>
      <c r="D31" s="7" t="s">
        <v>88</v>
      </c>
      <c r="E31" s="7" t="s">
        <v>314</v>
      </c>
      <c r="F31" s="7" t="s">
        <v>88</v>
      </c>
      <c r="G31" s="5"/>
      <c r="H31" s="5"/>
      <c r="I31" s="5"/>
      <c r="J31" s="5"/>
      <c r="K31" s="5"/>
      <c r="L31" s="5"/>
      <c r="M31" s="5"/>
      <c r="N31" s="5"/>
      <c r="O31" s="5"/>
      <c r="P31" s="5"/>
      <c r="Q31" s="5"/>
      <c r="R31" s="5"/>
      <c r="S31" s="5"/>
      <c r="T31" s="5"/>
      <c r="U31" s="5"/>
      <c r="V31" s="5"/>
      <c r="W31" s="5"/>
      <c r="X31" s="5"/>
      <c r="Y31" s="5"/>
      <c r="Z31" s="5"/>
    </row>
    <row r="32" ht="15.75" customHeight="1">
      <c r="A32" s="7" t="s">
        <v>56</v>
      </c>
      <c r="B32" s="7" t="s">
        <v>316</v>
      </c>
      <c r="C32" s="7" t="s">
        <v>317</v>
      </c>
      <c r="D32" s="7" t="s">
        <v>319</v>
      </c>
      <c r="E32" s="7" t="s">
        <v>320</v>
      </c>
      <c r="F32" s="7" t="s">
        <v>88</v>
      </c>
      <c r="G32" s="5"/>
      <c r="H32" s="5"/>
      <c r="I32" s="5"/>
      <c r="J32" s="5"/>
      <c r="K32" s="5"/>
      <c r="L32" s="5"/>
      <c r="M32" s="5"/>
      <c r="N32" s="5"/>
      <c r="O32" s="5"/>
      <c r="P32" s="5"/>
      <c r="Q32" s="5"/>
      <c r="R32" s="5"/>
      <c r="S32" s="5"/>
      <c r="T32" s="5"/>
      <c r="U32" s="5"/>
      <c r="V32" s="5"/>
      <c r="W32" s="5"/>
      <c r="X32" s="5"/>
      <c r="Y32" s="5"/>
      <c r="Z32" s="5"/>
    </row>
    <row r="33" ht="15.75" customHeight="1">
      <c r="A33" s="7" t="s">
        <v>58</v>
      </c>
      <c r="B33" s="7" t="s">
        <v>323</v>
      </c>
      <c r="C33" s="7" t="s">
        <v>313</v>
      </c>
      <c r="D33" s="7" t="s">
        <v>72</v>
      </c>
      <c r="E33" s="7" t="s">
        <v>324</v>
      </c>
      <c r="F33" s="11" t="s">
        <v>72</v>
      </c>
      <c r="G33" s="5"/>
      <c r="H33" s="5"/>
      <c r="I33" s="5"/>
      <c r="J33" s="5"/>
      <c r="K33" s="5"/>
      <c r="L33" s="5"/>
      <c r="M33" s="5"/>
      <c r="N33" s="5"/>
      <c r="O33" s="5"/>
      <c r="P33" s="5"/>
      <c r="Q33" s="5"/>
      <c r="R33" s="5"/>
      <c r="S33" s="5"/>
      <c r="T33" s="5"/>
      <c r="U33" s="5"/>
      <c r="V33" s="5"/>
      <c r="W33" s="5"/>
      <c r="X33" s="5"/>
      <c r="Y33" s="5"/>
      <c r="Z33" s="5"/>
    </row>
    <row r="34" ht="15.75" customHeight="1">
      <c r="A34" s="7" t="s">
        <v>59</v>
      </c>
      <c r="B34" s="7" t="s">
        <v>328</v>
      </c>
      <c r="C34" s="7" t="s">
        <v>313</v>
      </c>
      <c r="D34" s="7" t="s">
        <v>72</v>
      </c>
      <c r="E34" s="7" t="s">
        <v>329</v>
      </c>
      <c r="F34" s="11" t="s">
        <v>72</v>
      </c>
      <c r="G34" s="5"/>
      <c r="H34" s="5"/>
      <c r="I34" s="5"/>
      <c r="J34" s="5"/>
      <c r="K34" s="5"/>
      <c r="L34" s="5"/>
      <c r="M34" s="5"/>
      <c r="N34" s="5"/>
      <c r="O34" s="5"/>
      <c r="P34" s="5"/>
      <c r="Q34" s="5"/>
      <c r="R34" s="5"/>
      <c r="S34" s="5"/>
      <c r="T34" s="5"/>
      <c r="U34" s="5"/>
      <c r="V34" s="5"/>
      <c r="W34" s="5"/>
      <c r="X34" s="5"/>
      <c r="Y34" s="5"/>
      <c r="Z34" s="5"/>
    </row>
    <row r="35" ht="15.75" customHeight="1">
      <c r="A35" s="7" t="s">
        <v>60</v>
      </c>
      <c r="B35" s="7" t="s">
        <v>330</v>
      </c>
      <c r="C35" s="7" t="s">
        <v>331</v>
      </c>
      <c r="D35" s="7" t="s">
        <v>333</v>
      </c>
      <c r="E35" s="7" t="s">
        <v>262</v>
      </c>
      <c r="F35" s="7" t="s">
        <v>88</v>
      </c>
      <c r="G35" s="5"/>
      <c r="H35" s="5"/>
      <c r="I35" s="5"/>
      <c r="J35" s="5"/>
      <c r="K35" s="5"/>
      <c r="L35" s="5"/>
      <c r="M35" s="5"/>
      <c r="N35" s="5"/>
      <c r="O35" s="5"/>
      <c r="P35" s="5"/>
      <c r="Q35" s="5"/>
      <c r="R35" s="5"/>
      <c r="S35" s="5"/>
      <c r="T35" s="5"/>
      <c r="U35" s="5"/>
      <c r="V35" s="5"/>
      <c r="W35" s="5"/>
      <c r="X35" s="5"/>
      <c r="Y35" s="5"/>
      <c r="Z35" s="5"/>
    </row>
    <row r="36" ht="15.75" customHeight="1">
      <c r="A36" s="7" t="s">
        <v>61</v>
      </c>
      <c r="B36" s="7" t="s">
        <v>336</v>
      </c>
      <c r="C36" s="7" t="s">
        <v>331</v>
      </c>
      <c r="D36" s="7" t="s">
        <v>337</v>
      </c>
      <c r="E36" s="7" t="s">
        <v>338</v>
      </c>
      <c r="F36" s="7" t="s">
        <v>88</v>
      </c>
      <c r="G36" s="5"/>
      <c r="H36" s="5"/>
      <c r="I36" s="5"/>
      <c r="J36" s="5"/>
      <c r="K36" s="5"/>
      <c r="L36" s="5"/>
      <c r="M36" s="5"/>
      <c r="N36" s="5"/>
      <c r="O36" s="5"/>
      <c r="P36" s="5"/>
      <c r="Q36" s="5"/>
      <c r="R36" s="5"/>
      <c r="S36" s="5"/>
      <c r="T36" s="5"/>
      <c r="U36" s="5"/>
      <c r="V36" s="5"/>
      <c r="W36" s="5"/>
      <c r="X36" s="5"/>
      <c r="Y36" s="5"/>
      <c r="Z36" s="5"/>
    </row>
    <row r="37" ht="15.75" customHeight="1">
      <c r="A37" s="7" t="s">
        <v>63</v>
      </c>
      <c r="B37" s="7" t="s">
        <v>340</v>
      </c>
      <c r="C37" s="7" t="s">
        <v>341</v>
      </c>
      <c r="D37" s="7" t="s">
        <v>342</v>
      </c>
      <c r="E37" s="7" t="s">
        <v>343</v>
      </c>
      <c r="F37" s="7" t="s">
        <v>88</v>
      </c>
      <c r="G37" s="5"/>
      <c r="H37" s="5"/>
      <c r="I37" s="5"/>
      <c r="J37" s="5"/>
      <c r="K37" s="5"/>
      <c r="L37" s="5"/>
      <c r="M37" s="5"/>
      <c r="N37" s="5"/>
      <c r="O37" s="5"/>
      <c r="P37" s="5"/>
      <c r="Q37" s="5"/>
      <c r="R37" s="5"/>
      <c r="S37" s="5"/>
      <c r="T37" s="5"/>
      <c r="U37" s="5"/>
      <c r="V37" s="5"/>
      <c r="W37" s="5"/>
      <c r="X37" s="5"/>
      <c r="Y37" s="5"/>
      <c r="Z37" s="5"/>
    </row>
    <row r="38" ht="15.75" customHeight="1">
      <c r="A38" s="7" t="s">
        <v>65</v>
      </c>
      <c r="B38" s="7" t="s">
        <v>346</v>
      </c>
      <c r="C38" s="7" t="s">
        <v>341</v>
      </c>
      <c r="D38" s="7" t="s">
        <v>347</v>
      </c>
      <c r="E38" s="7" t="s">
        <v>348</v>
      </c>
      <c r="F38" s="7" t="s">
        <v>88</v>
      </c>
      <c r="G38" s="5"/>
      <c r="H38" s="5"/>
      <c r="I38" s="5"/>
      <c r="J38" s="5"/>
      <c r="K38" s="5"/>
      <c r="L38" s="5"/>
      <c r="M38" s="5"/>
      <c r="N38" s="5"/>
      <c r="O38" s="5"/>
      <c r="P38" s="5"/>
      <c r="Q38" s="5"/>
      <c r="R38" s="5"/>
      <c r="S38" s="5"/>
      <c r="T38" s="5"/>
      <c r="U38" s="5"/>
      <c r="V38" s="5"/>
      <c r="W38" s="5"/>
      <c r="X38" s="5"/>
      <c r="Y38" s="5"/>
      <c r="Z38" s="5"/>
    </row>
    <row r="39" ht="15.75" customHeight="1">
      <c r="A39" s="7" t="s">
        <v>68</v>
      </c>
      <c r="B39" s="7" t="s">
        <v>351</v>
      </c>
      <c r="C39" s="7" t="s">
        <v>331</v>
      </c>
      <c r="D39" s="7" t="s">
        <v>353</v>
      </c>
      <c r="E39" s="7" t="s">
        <v>354</v>
      </c>
      <c r="F39" s="7" t="s">
        <v>88</v>
      </c>
      <c r="G39" s="5"/>
      <c r="H39" s="5"/>
      <c r="I39" s="5"/>
      <c r="J39" s="5"/>
      <c r="K39" s="5"/>
      <c r="L39" s="5"/>
      <c r="M39" s="5"/>
      <c r="N39" s="5"/>
      <c r="O39" s="5"/>
      <c r="P39" s="5"/>
      <c r="Q39" s="5"/>
      <c r="R39" s="5"/>
      <c r="S39" s="5"/>
      <c r="T39" s="5"/>
      <c r="U39" s="5"/>
      <c r="V39" s="5"/>
      <c r="W39" s="5"/>
      <c r="X39" s="5"/>
      <c r="Y39" s="5"/>
      <c r="Z39" s="5"/>
    </row>
    <row r="40" ht="15.75" customHeight="1">
      <c r="A40" s="7" t="s">
        <v>70</v>
      </c>
      <c r="B40" s="7" t="s">
        <v>357</v>
      </c>
      <c r="C40" s="7" t="s">
        <v>358</v>
      </c>
      <c r="D40" s="7" t="s">
        <v>359</v>
      </c>
      <c r="E40" s="7" t="s">
        <v>362</v>
      </c>
      <c r="F40" s="11" t="s">
        <v>72</v>
      </c>
      <c r="G40" s="5"/>
      <c r="H40" s="5"/>
      <c r="I40" s="5"/>
      <c r="J40" s="5"/>
      <c r="K40" s="5"/>
      <c r="L40" s="5"/>
      <c r="M40" s="5"/>
      <c r="N40" s="5"/>
      <c r="O40" s="5"/>
      <c r="P40" s="5"/>
      <c r="Q40" s="5"/>
      <c r="R40" s="5"/>
      <c r="S40" s="5"/>
      <c r="T40" s="5"/>
      <c r="U40" s="5"/>
      <c r="V40" s="5"/>
      <c r="W40" s="5"/>
      <c r="X40" s="5"/>
      <c r="Y40" s="5"/>
      <c r="Z40" s="5"/>
    </row>
    <row r="41" ht="15.75" customHeight="1">
      <c r="A41" s="7" t="s">
        <v>71</v>
      </c>
      <c r="B41" s="7" t="s">
        <v>365</v>
      </c>
      <c r="C41" s="7" t="s">
        <v>82</v>
      </c>
      <c r="D41" s="7" t="s">
        <v>176</v>
      </c>
      <c r="E41" s="7" t="s">
        <v>366</v>
      </c>
      <c r="F41" s="11" t="s">
        <v>72</v>
      </c>
      <c r="G41" s="5"/>
      <c r="H41" s="5"/>
      <c r="I41" s="5"/>
      <c r="J41" s="5"/>
      <c r="K41" s="5"/>
      <c r="L41" s="5"/>
      <c r="M41" s="5"/>
      <c r="N41" s="5"/>
      <c r="O41" s="5"/>
      <c r="P41" s="5"/>
      <c r="Q41" s="5"/>
      <c r="R41" s="5"/>
      <c r="S41" s="5"/>
      <c r="T41" s="5"/>
      <c r="U41" s="5"/>
      <c r="V41" s="5"/>
      <c r="W41" s="5"/>
      <c r="X41" s="5"/>
      <c r="Y41" s="5"/>
      <c r="Z41" s="5"/>
    </row>
    <row r="42" ht="15.75" customHeight="1">
      <c r="A42" s="7" t="s">
        <v>73</v>
      </c>
      <c r="B42" s="7" t="s">
        <v>369</v>
      </c>
      <c r="C42" s="7" t="s">
        <v>370</v>
      </c>
      <c r="D42" s="7" t="s">
        <v>371</v>
      </c>
      <c r="E42" s="7" t="s">
        <v>372</v>
      </c>
      <c r="F42" s="11" t="s">
        <v>72</v>
      </c>
      <c r="G42" s="5"/>
      <c r="H42" s="5"/>
      <c r="I42" s="5"/>
      <c r="J42" s="5"/>
      <c r="K42" s="5"/>
      <c r="L42" s="5"/>
      <c r="M42" s="5"/>
      <c r="N42" s="5"/>
      <c r="O42" s="5"/>
      <c r="P42" s="5"/>
      <c r="Q42" s="5"/>
      <c r="R42" s="5"/>
      <c r="S42" s="5"/>
      <c r="T42" s="5"/>
      <c r="U42" s="5"/>
      <c r="V42" s="5"/>
      <c r="W42" s="5"/>
      <c r="X42" s="5"/>
      <c r="Y42" s="5"/>
      <c r="Z42" s="5"/>
    </row>
    <row r="43" ht="15.75" customHeight="1">
      <c r="A43" s="7" t="s">
        <v>74</v>
      </c>
      <c r="B43" s="7" t="s">
        <v>378</v>
      </c>
      <c r="C43" s="7" t="s">
        <v>379</v>
      </c>
      <c r="D43" s="7" t="s">
        <v>355</v>
      </c>
      <c r="E43" s="7" t="s">
        <v>381</v>
      </c>
      <c r="F43" s="11" t="s">
        <v>72</v>
      </c>
      <c r="G43" s="5"/>
      <c r="H43" s="5"/>
      <c r="I43" s="5"/>
      <c r="J43" s="5"/>
      <c r="K43" s="5"/>
      <c r="L43" s="5"/>
      <c r="M43" s="5"/>
      <c r="N43" s="5"/>
      <c r="O43" s="5"/>
      <c r="P43" s="5"/>
      <c r="Q43" s="5"/>
      <c r="R43" s="5"/>
      <c r="S43" s="5"/>
      <c r="T43" s="5"/>
      <c r="U43" s="5"/>
      <c r="V43" s="5"/>
      <c r="W43" s="5"/>
      <c r="X43" s="5"/>
      <c r="Y43" s="5"/>
      <c r="Z43" s="5"/>
    </row>
    <row r="44" ht="15.75" customHeight="1">
      <c r="A44" s="7" t="s">
        <v>75</v>
      </c>
      <c r="B44" s="7" t="s">
        <v>384</v>
      </c>
      <c r="C44" s="7" t="s">
        <v>379</v>
      </c>
      <c r="D44" s="7" t="s">
        <v>385</v>
      </c>
      <c r="E44" s="7" t="s">
        <v>386</v>
      </c>
      <c r="F44" s="11" t="s">
        <v>72</v>
      </c>
      <c r="G44" s="5"/>
      <c r="H44" s="5"/>
      <c r="I44" s="5"/>
      <c r="J44" s="5"/>
      <c r="K44" s="5"/>
      <c r="L44" s="5"/>
      <c r="M44" s="5"/>
      <c r="N44" s="5"/>
      <c r="O44" s="5"/>
      <c r="P44" s="5"/>
      <c r="Q44" s="5"/>
      <c r="R44" s="5"/>
      <c r="S44" s="5"/>
      <c r="T44" s="5"/>
      <c r="U44" s="5"/>
      <c r="V44" s="5"/>
      <c r="W44" s="5"/>
      <c r="X44" s="5"/>
      <c r="Y44" s="5"/>
      <c r="Z44" s="5"/>
    </row>
    <row r="45" ht="15.75" customHeight="1">
      <c r="A45" s="7" t="s">
        <v>76</v>
      </c>
      <c r="B45" s="7" t="s">
        <v>394</v>
      </c>
      <c r="C45" s="7" t="s">
        <v>331</v>
      </c>
      <c r="D45" s="7" t="s">
        <v>396</v>
      </c>
      <c r="E45" s="7" t="s">
        <v>397</v>
      </c>
      <c r="F45" s="7" t="s">
        <v>88</v>
      </c>
      <c r="G45" s="5"/>
      <c r="H45" s="5"/>
      <c r="I45" s="5"/>
      <c r="J45" s="5"/>
      <c r="K45" s="5"/>
      <c r="L45" s="5"/>
      <c r="M45" s="5"/>
      <c r="N45" s="5"/>
      <c r="O45" s="5"/>
      <c r="P45" s="5"/>
      <c r="Q45" s="5"/>
      <c r="R45" s="5"/>
      <c r="S45" s="5"/>
      <c r="T45" s="5"/>
      <c r="U45" s="5"/>
      <c r="V45" s="5"/>
      <c r="W45" s="5"/>
      <c r="X45" s="5"/>
      <c r="Y45" s="5"/>
      <c r="Z45" s="5"/>
    </row>
    <row r="46" ht="15.75" customHeight="1">
      <c r="A46" s="5"/>
      <c r="B46" s="5"/>
      <c r="C46" s="5"/>
      <c r="D46" s="5"/>
      <c r="E46" s="5"/>
      <c r="F46" s="5"/>
      <c r="G46" s="5"/>
      <c r="H46" s="5"/>
      <c r="I46" s="5"/>
      <c r="J46" s="5"/>
      <c r="K46" s="5"/>
      <c r="L46" s="5"/>
      <c r="M46" s="5"/>
      <c r="N46" s="5"/>
      <c r="O46" s="5"/>
      <c r="P46" s="5"/>
      <c r="Q46" s="5"/>
      <c r="R46" s="5"/>
      <c r="S46" s="5"/>
      <c r="T46" s="5"/>
      <c r="U46" s="5"/>
      <c r="V46" s="5"/>
      <c r="W46" s="5"/>
      <c r="X46" s="5"/>
      <c r="Y46" s="5"/>
      <c r="Z46" s="5"/>
    </row>
    <row r="47" ht="15.75" customHeight="1">
      <c r="A47" s="5"/>
      <c r="B47" s="5"/>
      <c r="C47" s="5"/>
      <c r="D47" s="5"/>
      <c r="E47" s="5"/>
      <c r="F47" s="5"/>
      <c r="G47" s="5"/>
      <c r="H47" s="5"/>
      <c r="I47" s="5"/>
      <c r="J47" s="5"/>
      <c r="K47" s="5"/>
      <c r="L47" s="5"/>
      <c r="M47" s="5"/>
      <c r="N47" s="5"/>
      <c r="O47" s="5"/>
      <c r="P47" s="5"/>
      <c r="Q47" s="5"/>
      <c r="R47" s="5"/>
      <c r="S47" s="5"/>
      <c r="T47" s="5"/>
      <c r="U47" s="5"/>
      <c r="V47" s="5"/>
      <c r="W47" s="5"/>
      <c r="X47" s="5"/>
      <c r="Y47" s="5"/>
      <c r="Z47" s="5"/>
    </row>
    <row r="48" ht="15.75" customHeight="1">
      <c r="A48" s="5"/>
      <c r="B48" s="5"/>
      <c r="C48" s="5"/>
      <c r="D48" s="5"/>
      <c r="E48" s="5"/>
      <c r="F48" s="5"/>
      <c r="G48" s="5"/>
      <c r="H48" s="5"/>
      <c r="I48" s="5"/>
      <c r="J48" s="5"/>
      <c r="K48" s="5"/>
      <c r="L48" s="5"/>
      <c r="M48" s="5"/>
      <c r="N48" s="5"/>
      <c r="O48" s="5"/>
      <c r="P48" s="5"/>
      <c r="Q48" s="5"/>
      <c r="R48" s="5"/>
      <c r="S48" s="5"/>
      <c r="T48" s="5"/>
      <c r="U48" s="5"/>
      <c r="V48" s="5"/>
      <c r="W48" s="5"/>
      <c r="X48" s="5"/>
      <c r="Y48" s="5"/>
      <c r="Z48" s="5"/>
    </row>
    <row r="49" ht="15.75" customHeight="1">
      <c r="A49" s="5"/>
      <c r="B49" s="5"/>
      <c r="C49" s="5"/>
      <c r="D49" s="5"/>
      <c r="E49" s="5"/>
      <c r="F49" s="5"/>
      <c r="G49" s="5"/>
      <c r="H49" s="5"/>
      <c r="I49" s="5"/>
      <c r="J49" s="5"/>
      <c r="K49" s="5"/>
      <c r="L49" s="5"/>
      <c r="M49" s="5"/>
      <c r="N49" s="5"/>
      <c r="O49" s="5"/>
      <c r="P49" s="5"/>
      <c r="Q49" s="5"/>
      <c r="R49" s="5"/>
      <c r="S49" s="5"/>
      <c r="T49" s="5"/>
      <c r="U49" s="5"/>
      <c r="V49" s="5"/>
      <c r="W49" s="5"/>
      <c r="X49" s="5"/>
      <c r="Y49" s="5"/>
      <c r="Z49" s="5"/>
    </row>
    <row r="50" ht="15.75" customHeight="1">
      <c r="A50" s="5"/>
      <c r="B50" s="5"/>
      <c r="C50" s="5"/>
      <c r="D50" s="5"/>
      <c r="E50" s="5"/>
      <c r="F50" s="5"/>
      <c r="G50" s="5"/>
      <c r="H50" s="5"/>
      <c r="I50" s="5"/>
      <c r="J50" s="5"/>
      <c r="K50" s="5"/>
      <c r="L50" s="5"/>
      <c r="M50" s="5"/>
      <c r="N50" s="5"/>
      <c r="O50" s="5"/>
      <c r="P50" s="5"/>
      <c r="Q50" s="5"/>
      <c r="R50" s="5"/>
      <c r="S50" s="5"/>
      <c r="T50" s="5"/>
      <c r="U50" s="5"/>
      <c r="V50" s="5"/>
      <c r="W50" s="5"/>
      <c r="X50" s="5"/>
      <c r="Y50" s="5"/>
      <c r="Z50" s="5"/>
    </row>
    <row r="51" ht="15.75" customHeight="1">
      <c r="A51" s="5"/>
      <c r="B51" s="5"/>
      <c r="C51" s="5"/>
      <c r="D51" s="5"/>
      <c r="E51" s="5"/>
      <c r="F51" s="5"/>
      <c r="G51" s="5"/>
      <c r="H51" s="5"/>
      <c r="I51" s="5"/>
      <c r="J51" s="5"/>
      <c r="K51" s="5"/>
      <c r="L51" s="5"/>
      <c r="M51" s="5"/>
      <c r="N51" s="5"/>
      <c r="O51" s="5"/>
      <c r="P51" s="5"/>
      <c r="Q51" s="5"/>
      <c r="R51" s="5"/>
      <c r="S51" s="5"/>
      <c r="T51" s="5"/>
      <c r="U51" s="5"/>
      <c r="V51" s="5"/>
      <c r="W51" s="5"/>
      <c r="X51" s="5"/>
      <c r="Y51" s="5"/>
      <c r="Z51" s="5"/>
    </row>
    <row r="52" ht="15.75" customHeight="1">
      <c r="A52" s="5"/>
      <c r="B52" s="5"/>
      <c r="C52" s="5"/>
      <c r="D52" s="5"/>
      <c r="E52" s="5"/>
      <c r="F52" s="5"/>
      <c r="G52" s="5"/>
      <c r="H52" s="5"/>
      <c r="I52" s="5"/>
      <c r="J52" s="5"/>
      <c r="K52" s="5"/>
      <c r="L52" s="5"/>
      <c r="M52" s="5"/>
      <c r="N52" s="5"/>
      <c r="O52" s="5"/>
      <c r="P52" s="5"/>
      <c r="Q52" s="5"/>
      <c r="R52" s="5"/>
      <c r="S52" s="5"/>
      <c r="T52" s="5"/>
      <c r="U52" s="5"/>
      <c r="V52" s="5"/>
      <c r="W52" s="5"/>
      <c r="X52" s="5"/>
      <c r="Y52" s="5"/>
      <c r="Z52" s="5"/>
    </row>
    <row r="53" ht="15.75" customHeight="1">
      <c r="A53" s="5"/>
      <c r="B53" s="5"/>
      <c r="C53" s="5"/>
      <c r="D53" s="5"/>
      <c r="E53" s="5"/>
      <c r="F53" s="5"/>
      <c r="G53" s="5"/>
      <c r="H53" s="5"/>
      <c r="I53" s="5"/>
      <c r="J53" s="5"/>
      <c r="K53" s="5"/>
      <c r="L53" s="5"/>
      <c r="M53" s="5"/>
      <c r="N53" s="5"/>
      <c r="O53" s="5"/>
      <c r="P53" s="5"/>
      <c r="Q53" s="5"/>
      <c r="R53" s="5"/>
      <c r="S53" s="5"/>
      <c r="T53" s="5"/>
      <c r="U53" s="5"/>
      <c r="V53" s="5"/>
      <c r="W53" s="5"/>
      <c r="X53" s="5"/>
      <c r="Y53" s="5"/>
      <c r="Z53" s="5"/>
    </row>
    <row r="54" ht="15.75" customHeight="1">
      <c r="A54" s="5"/>
      <c r="B54" s="5"/>
      <c r="C54" s="5"/>
      <c r="D54" s="5"/>
      <c r="E54" s="5"/>
      <c r="F54" s="5"/>
      <c r="G54" s="5"/>
      <c r="H54" s="5"/>
      <c r="I54" s="5"/>
      <c r="J54" s="5"/>
      <c r="K54" s="5"/>
      <c r="L54" s="5"/>
      <c r="M54" s="5"/>
      <c r="N54" s="5"/>
      <c r="O54" s="5"/>
      <c r="P54" s="5"/>
      <c r="Q54" s="5"/>
      <c r="R54" s="5"/>
      <c r="S54" s="5"/>
      <c r="T54" s="5"/>
      <c r="U54" s="5"/>
      <c r="V54" s="5"/>
      <c r="W54" s="5"/>
      <c r="X54" s="5"/>
      <c r="Y54" s="5"/>
      <c r="Z54" s="5"/>
    </row>
    <row r="55" ht="15.75" customHeight="1">
      <c r="A55" s="5"/>
      <c r="B55" s="5"/>
      <c r="C55" s="5"/>
      <c r="D55" s="5"/>
      <c r="E55" s="5"/>
      <c r="F55" s="5"/>
      <c r="G55" s="5"/>
      <c r="H55" s="5"/>
      <c r="I55" s="5"/>
      <c r="J55" s="5"/>
      <c r="K55" s="5"/>
      <c r="L55" s="5"/>
      <c r="M55" s="5"/>
      <c r="N55" s="5"/>
      <c r="O55" s="5"/>
      <c r="P55" s="5"/>
      <c r="Q55" s="5"/>
      <c r="R55" s="5"/>
      <c r="S55" s="5"/>
      <c r="T55" s="5"/>
      <c r="U55" s="5"/>
      <c r="V55" s="5"/>
      <c r="W55" s="5"/>
      <c r="X55" s="5"/>
      <c r="Y55" s="5"/>
      <c r="Z55" s="5"/>
    </row>
    <row r="56" ht="15.75" customHeight="1">
      <c r="A56" s="5"/>
      <c r="B56" s="5"/>
      <c r="C56" s="5"/>
      <c r="D56" s="5"/>
      <c r="E56" s="5"/>
      <c r="F56" s="5"/>
      <c r="G56" s="5"/>
      <c r="H56" s="5"/>
      <c r="I56" s="5"/>
      <c r="J56" s="5"/>
      <c r="K56" s="5"/>
      <c r="L56" s="5"/>
      <c r="M56" s="5"/>
      <c r="N56" s="5"/>
      <c r="O56" s="5"/>
      <c r="P56" s="5"/>
      <c r="Q56" s="5"/>
      <c r="R56" s="5"/>
      <c r="S56" s="5"/>
      <c r="T56" s="5"/>
      <c r="U56" s="5"/>
      <c r="V56" s="5"/>
      <c r="W56" s="5"/>
      <c r="X56" s="5"/>
      <c r="Y56" s="5"/>
      <c r="Z56" s="5"/>
    </row>
    <row r="57" ht="15.75" customHeight="1">
      <c r="A57" s="5"/>
      <c r="B57" s="5"/>
      <c r="C57" s="5"/>
      <c r="D57" s="5"/>
      <c r="E57" s="5"/>
      <c r="F57" s="5"/>
      <c r="G57" s="5"/>
      <c r="H57" s="5"/>
      <c r="I57" s="5"/>
      <c r="J57" s="5"/>
      <c r="K57" s="5"/>
      <c r="L57" s="5"/>
      <c r="M57" s="5"/>
      <c r="N57" s="5"/>
      <c r="O57" s="5"/>
      <c r="P57" s="5"/>
      <c r="Q57" s="5"/>
      <c r="R57" s="5"/>
      <c r="S57" s="5"/>
      <c r="T57" s="5"/>
      <c r="U57" s="5"/>
      <c r="V57" s="5"/>
      <c r="W57" s="5"/>
      <c r="X57" s="5"/>
      <c r="Y57" s="5"/>
      <c r="Z57" s="5"/>
    </row>
    <row r="58" ht="15.75" customHeight="1">
      <c r="A58" s="5"/>
      <c r="B58" s="5"/>
      <c r="C58" s="5"/>
      <c r="D58" s="5"/>
      <c r="E58" s="5"/>
      <c r="F58" s="5"/>
      <c r="G58" s="5"/>
      <c r="H58" s="5"/>
      <c r="I58" s="5"/>
      <c r="J58" s="5"/>
      <c r="K58" s="5"/>
      <c r="L58" s="5"/>
      <c r="M58" s="5"/>
      <c r="N58" s="5"/>
      <c r="O58" s="5"/>
      <c r="P58" s="5"/>
      <c r="Q58" s="5"/>
      <c r="R58" s="5"/>
      <c r="S58" s="5"/>
      <c r="T58" s="5"/>
      <c r="U58" s="5"/>
      <c r="V58" s="5"/>
      <c r="W58" s="5"/>
      <c r="X58" s="5"/>
      <c r="Y58" s="5"/>
      <c r="Z58" s="5"/>
    </row>
    <row r="59" ht="15.75" customHeight="1">
      <c r="A59" s="5"/>
      <c r="B59" s="5"/>
      <c r="C59" s="5"/>
      <c r="D59" s="5"/>
      <c r="E59" s="5"/>
      <c r="F59" s="5"/>
      <c r="G59" s="5"/>
      <c r="H59" s="5"/>
      <c r="I59" s="5"/>
      <c r="J59" s="5"/>
      <c r="K59" s="5"/>
      <c r="L59" s="5"/>
      <c r="M59" s="5"/>
      <c r="N59" s="5"/>
      <c r="O59" s="5"/>
      <c r="P59" s="5"/>
      <c r="Q59" s="5"/>
      <c r="R59" s="5"/>
      <c r="S59" s="5"/>
      <c r="T59" s="5"/>
      <c r="U59" s="5"/>
      <c r="V59" s="5"/>
      <c r="W59" s="5"/>
      <c r="X59" s="5"/>
      <c r="Y59" s="5"/>
      <c r="Z59" s="5"/>
    </row>
    <row r="60" ht="15.75" customHeight="1">
      <c r="A60" s="5"/>
      <c r="B60" s="5"/>
      <c r="C60" s="5"/>
      <c r="D60" s="5"/>
      <c r="E60" s="5"/>
      <c r="F60" s="5"/>
      <c r="G60" s="5"/>
      <c r="H60" s="5"/>
      <c r="I60" s="5"/>
      <c r="J60" s="5"/>
      <c r="K60" s="5"/>
      <c r="L60" s="5"/>
      <c r="M60" s="5"/>
      <c r="N60" s="5"/>
      <c r="O60" s="5"/>
      <c r="P60" s="5"/>
      <c r="Q60" s="5"/>
      <c r="R60" s="5"/>
      <c r="S60" s="5"/>
      <c r="T60" s="5"/>
      <c r="U60" s="5"/>
      <c r="V60" s="5"/>
      <c r="W60" s="5"/>
      <c r="X60" s="5"/>
      <c r="Y60" s="5"/>
      <c r="Z60" s="5"/>
    </row>
    <row r="61" ht="15.75" customHeight="1">
      <c r="A61" s="5"/>
      <c r="B61" s="5"/>
      <c r="C61" s="5"/>
      <c r="D61" s="5"/>
      <c r="E61" s="5"/>
      <c r="F61" s="5"/>
      <c r="G61" s="5"/>
      <c r="H61" s="5"/>
      <c r="I61" s="5"/>
      <c r="J61" s="5"/>
      <c r="K61" s="5"/>
      <c r="L61" s="5"/>
      <c r="M61" s="5"/>
      <c r="N61" s="5"/>
      <c r="O61" s="5"/>
      <c r="P61" s="5"/>
      <c r="Q61" s="5"/>
      <c r="R61" s="5"/>
      <c r="S61" s="5"/>
      <c r="T61" s="5"/>
      <c r="U61" s="5"/>
      <c r="V61" s="5"/>
      <c r="W61" s="5"/>
      <c r="X61" s="5"/>
      <c r="Y61" s="5"/>
      <c r="Z61" s="5"/>
    </row>
    <row r="62" ht="15.75" customHeight="1">
      <c r="A62" s="5"/>
      <c r="B62" s="5"/>
      <c r="C62" s="5"/>
      <c r="D62" s="5"/>
      <c r="E62" s="5"/>
      <c r="F62" s="5"/>
      <c r="G62" s="5"/>
      <c r="H62" s="5"/>
      <c r="I62" s="5"/>
      <c r="J62" s="5"/>
      <c r="K62" s="5"/>
      <c r="L62" s="5"/>
      <c r="M62" s="5"/>
      <c r="N62" s="5"/>
      <c r="O62" s="5"/>
      <c r="P62" s="5"/>
      <c r="Q62" s="5"/>
      <c r="R62" s="5"/>
      <c r="S62" s="5"/>
      <c r="T62" s="5"/>
      <c r="U62" s="5"/>
      <c r="V62" s="5"/>
      <c r="W62" s="5"/>
      <c r="X62" s="5"/>
      <c r="Y62" s="5"/>
      <c r="Z62" s="5"/>
    </row>
    <row r="63" ht="15.75" customHeight="1">
      <c r="A63" s="5"/>
      <c r="B63" s="5"/>
      <c r="C63" s="5"/>
      <c r="D63" s="5"/>
      <c r="E63" s="5"/>
      <c r="F63" s="5"/>
      <c r="G63" s="5"/>
      <c r="H63" s="5"/>
      <c r="I63" s="5"/>
      <c r="J63" s="5"/>
      <c r="K63" s="5"/>
      <c r="L63" s="5"/>
      <c r="M63" s="5"/>
      <c r="N63" s="5"/>
      <c r="O63" s="5"/>
      <c r="P63" s="5"/>
      <c r="Q63" s="5"/>
      <c r="R63" s="5"/>
      <c r="S63" s="5"/>
      <c r="T63" s="5"/>
      <c r="U63" s="5"/>
      <c r="V63" s="5"/>
      <c r="W63" s="5"/>
      <c r="X63" s="5"/>
      <c r="Y63" s="5"/>
      <c r="Z63" s="5"/>
    </row>
    <row r="64" ht="15.75" customHeight="1">
      <c r="A64" s="5"/>
      <c r="B64" s="5"/>
      <c r="C64" s="5"/>
      <c r="D64" s="5"/>
      <c r="E64" s="5"/>
      <c r="F64" s="5"/>
      <c r="G64" s="5"/>
      <c r="H64" s="5"/>
      <c r="I64" s="5"/>
      <c r="J64" s="5"/>
      <c r="K64" s="5"/>
      <c r="L64" s="5"/>
      <c r="M64" s="5"/>
      <c r="N64" s="5"/>
      <c r="O64" s="5"/>
      <c r="P64" s="5"/>
      <c r="Q64" s="5"/>
      <c r="R64" s="5"/>
      <c r="S64" s="5"/>
      <c r="T64" s="5"/>
      <c r="U64" s="5"/>
      <c r="V64" s="5"/>
      <c r="W64" s="5"/>
      <c r="X64" s="5"/>
      <c r="Y64" s="5"/>
      <c r="Z64" s="5"/>
    </row>
    <row r="65" ht="15.75" customHeight="1">
      <c r="A65" s="5"/>
      <c r="B65" s="5"/>
      <c r="C65" s="5"/>
      <c r="D65" s="5"/>
      <c r="E65" s="5"/>
      <c r="F65" s="5"/>
      <c r="G65" s="5"/>
      <c r="H65" s="5"/>
      <c r="I65" s="5"/>
      <c r="J65" s="5"/>
      <c r="K65" s="5"/>
      <c r="L65" s="5"/>
      <c r="M65" s="5"/>
      <c r="N65" s="5"/>
      <c r="O65" s="5"/>
      <c r="P65" s="5"/>
      <c r="Q65" s="5"/>
      <c r="R65" s="5"/>
      <c r="S65" s="5"/>
      <c r="T65" s="5"/>
      <c r="U65" s="5"/>
      <c r="V65" s="5"/>
      <c r="W65" s="5"/>
      <c r="X65" s="5"/>
      <c r="Y65" s="5"/>
      <c r="Z65" s="5"/>
    </row>
    <row r="66" ht="15.75" customHeight="1">
      <c r="A66" s="5"/>
      <c r="B66" s="5"/>
      <c r="C66" s="5"/>
      <c r="D66" s="5"/>
      <c r="E66" s="5"/>
      <c r="F66" s="5"/>
      <c r="G66" s="5"/>
      <c r="H66" s="5"/>
      <c r="I66" s="5"/>
      <c r="J66" s="5"/>
      <c r="K66" s="5"/>
      <c r="L66" s="5"/>
      <c r="M66" s="5"/>
      <c r="N66" s="5"/>
      <c r="O66" s="5"/>
      <c r="P66" s="5"/>
      <c r="Q66" s="5"/>
      <c r="R66" s="5"/>
      <c r="S66" s="5"/>
      <c r="T66" s="5"/>
      <c r="U66" s="5"/>
      <c r="V66" s="5"/>
      <c r="W66" s="5"/>
      <c r="X66" s="5"/>
      <c r="Y66" s="5"/>
      <c r="Z66" s="5"/>
    </row>
    <row r="67" ht="15.75" customHeight="1">
      <c r="A67" s="5"/>
      <c r="B67" s="5"/>
      <c r="C67" s="5"/>
      <c r="D67" s="5"/>
      <c r="E67" s="5"/>
      <c r="F67" s="5"/>
      <c r="G67" s="5"/>
      <c r="H67" s="5"/>
      <c r="I67" s="5"/>
      <c r="J67" s="5"/>
      <c r="K67" s="5"/>
      <c r="L67" s="5"/>
      <c r="M67" s="5"/>
      <c r="N67" s="5"/>
      <c r="O67" s="5"/>
      <c r="P67" s="5"/>
      <c r="Q67" s="5"/>
      <c r="R67" s="5"/>
      <c r="S67" s="5"/>
      <c r="T67" s="5"/>
      <c r="U67" s="5"/>
      <c r="V67" s="5"/>
      <c r="W67" s="5"/>
      <c r="X67" s="5"/>
      <c r="Y67" s="5"/>
      <c r="Z67" s="5"/>
    </row>
    <row r="68" ht="15.75" customHeight="1">
      <c r="A68" s="5"/>
      <c r="B68" s="5"/>
      <c r="C68" s="5"/>
      <c r="D68" s="5"/>
      <c r="E68" s="5"/>
      <c r="F68" s="5"/>
      <c r="G68" s="5"/>
      <c r="H68" s="5"/>
      <c r="I68" s="5"/>
      <c r="J68" s="5"/>
      <c r="K68" s="5"/>
      <c r="L68" s="5"/>
      <c r="M68" s="5"/>
      <c r="N68" s="5"/>
      <c r="O68" s="5"/>
      <c r="P68" s="5"/>
      <c r="Q68" s="5"/>
      <c r="R68" s="5"/>
      <c r="S68" s="5"/>
      <c r="T68" s="5"/>
      <c r="U68" s="5"/>
      <c r="V68" s="5"/>
      <c r="W68" s="5"/>
      <c r="X68" s="5"/>
      <c r="Y68" s="5"/>
      <c r="Z68" s="5"/>
    </row>
    <row r="69" ht="15.75" customHeight="1">
      <c r="A69" s="5"/>
      <c r="B69" s="5"/>
      <c r="C69" s="5"/>
      <c r="D69" s="5"/>
      <c r="E69" s="5"/>
      <c r="F69" s="5"/>
      <c r="G69" s="5"/>
      <c r="H69" s="5"/>
      <c r="I69" s="5"/>
      <c r="J69" s="5"/>
      <c r="K69" s="5"/>
      <c r="L69" s="5"/>
      <c r="M69" s="5"/>
      <c r="N69" s="5"/>
      <c r="O69" s="5"/>
      <c r="P69" s="5"/>
      <c r="Q69" s="5"/>
      <c r="R69" s="5"/>
      <c r="S69" s="5"/>
      <c r="T69" s="5"/>
      <c r="U69" s="5"/>
      <c r="V69" s="5"/>
      <c r="W69" s="5"/>
      <c r="X69" s="5"/>
      <c r="Y69" s="5"/>
      <c r="Z69" s="5"/>
    </row>
    <row r="70" ht="15.75" customHeight="1">
      <c r="A70" s="5"/>
      <c r="B70" s="5"/>
      <c r="C70" s="5"/>
      <c r="D70" s="5"/>
      <c r="E70" s="5"/>
      <c r="F70" s="5"/>
      <c r="G70" s="5"/>
      <c r="H70" s="5"/>
      <c r="I70" s="5"/>
      <c r="J70" s="5"/>
      <c r="K70" s="5"/>
      <c r="L70" s="5"/>
      <c r="M70" s="5"/>
      <c r="N70" s="5"/>
      <c r="O70" s="5"/>
      <c r="P70" s="5"/>
      <c r="Q70" s="5"/>
      <c r="R70" s="5"/>
      <c r="S70" s="5"/>
      <c r="T70" s="5"/>
      <c r="U70" s="5"/>
      <c r="V70" s="5"/>
      <c r="W70" s="5"/>
      <c r="X70" s="5"/>
      <c r="Y70" s="5"/>
      <c r="Z70" s="5"/>
    </row>
    <row r="71" ht="15.75" customHeight="1">
      <c r="A71" s="5"/>
      <c r="B71" s="5"/>
      <c r="C71" s="5"/>
      <c r="D71" s="5"/>
      <c r="E71" s="5"/>
      <c r="F71" s="5"/>
      <c r="G71" s="5"/>
      <c r="H71" s="5"/>
      <c r="I71" s="5"/>
      <c r="J71" s="5"/>
      <c r="K71" s="5"/>
      <c r="L71" s="5"/>
      <c r="M71" s="5"/>
      <c r="N71" s="5"/>
      <c r="O71" s="5"/>
      <c r="P71" s="5"/>
      <c r="Q71" s="5"/>
      <c r="R71" s="5"/>
      <c r="S71" s="5"/>
      <c r="T71" s="5"/>
      <c r="U71" s="5"/>
      <c r="V71" s="5"/>
      <c r="W71" s="5"/>
      <c r="X71" s="5"/>
      <c r="Y71" s="5"/>
      <c r="Z71" s="5"/>
    </row>
    <row r="72" ht="15.75" customHeight="1">
      <c r="A72" s="5"/>
      <c r="B72" s="5"/>
      <c r="C72" s="5"/>
      <c r="D72" s="5"/>
      <c r="E72" s="5"/>
      <c r="F72" s="5"/>
      <c r="G72" s="5"/>
      <c r="H72" s="5"/>
      <c r="I72" s="5"/>
      <c r="J72" s="5"/>
      <c r="K72" s="5"/>
      <c r="L72" s="5"/>
      <c r="M72" s="5"/>
      <c r="N72" s="5"/>
      <c r="O72" s="5"/>
      <c r="P72" s="5"/>
      <c r="Q72" s="5"/>
      <c r="R72" s="5"/>
      <c r="S72" s="5"/>
      <c r="T72" s="5"/>
      <c r="U72" s="5"/>
      <c r="V72" s="5"/>
      <c r="W72" s="5"/>
      <c r="X72" s="5"/>
      <c r="Y72" s="5"/>
      <c r="Z72" s="5"/>
    </row>
    <row r="73" ht="15.75" customHeight="1">
      <c r="A73" s="5"/>
      <c r="B73" s="5"/>
      <c r="C73" s="5"/>
      <c r="D73" s="5"/>
      <c r="E73" s="5"/>
      <c r="F73" s="5"/>
      <c r="G73" s="5"/>
      <c r="H73" s="5"/>
      <c r="I73" s="5"/>
      <c r="J73" s="5"/>
      <c r="K73" s="5"/>
      <c r="L73" s="5"/>
      <c r="M73" s="5"/>
      <c r="N73" s="5"/>
      <c r="O73" s="5"/>
      <c r="P73" s="5"/>
      <c r="Q73" s="5"/>
      <c r="R73" s="5"/>
      <c r="S73" s="5"/>
      <c r="T73" s="5"/>
      <c r="U73" s="5"/>
      <c r="V73" s="5"/>
      <c r="W73" s="5"/>
      <c r="X73" s="5"/>
      <c r="Y73" s="5"/>
      <c r="Z73" s="5"/>
    </row>
    <row r="74" ht="15.75" customHeight="1">
      <c r="A74" s="5"/>
      <c r="B74" s="5"/>
      <c r="C74" s="5"/>
      <c r="D74" s="5"/>
      <c r="E74" s="5"/>
      <c r="F74" s="5"/>
      <c r="G74" s="5"/>
      <c r="H74" s="5"/>
      <c r="I74" s="5"/>
      <c r="J74" s="5"/>
      <c r="K74" s="5"/>
      <c r="L74" s="5"/>
      <c r="M74" s="5"/>
      <c r="N74" s="5"/>
      <c r="O74" s="5"/>
      <c r="P74" s="5"/>
      <c r="Q74" s="5"/>
      <c r="R74" s="5"/>
      <c r="S74" s="5"/>
      <c r="T74" s="5"/>
      <c r="U74" s="5"/>
      <c r="V74" s="5"/>
      <c r="W74" s="5"/>
      <c r="X74" s="5"/>
      <c r="Y74" s="5"/>
      <c r="Z74" s="5"/>
    </row>
    <row r="75" ht="15.75" customHeight="1">
      <c r="A75" s="5"/>
      <c r="B75" s="5"/>
      <c r="C75" s="5"/>
      <c r="D75" s="5"/>
      <c r="E75" s="5"/>
      <c r="F75" s="5"/>
      <c r="G75" s="5"/>
      <c r="H75" s="5"/>
      <c r="I75" s="5"/>
      <c r="J75" s="5"/>
      <c r="K75" s="5"/>
      <c r="L75" s="5"/>
      <c r="M75" s="5"/>
      <c r="N75" s="5"/>
      <c r="O75" s="5"/>
      <c r="P75" s="5"/>
      <c r="Q75" s="5"/>
      <c r="R75" s="5"/>
      <c r="S75" s="5"/>
      <c r="T75" s="5"/>
      <c r="U75" s="5"/>
      <c r="V75" s="5"/>
      <c r="W75" s="5"/>
      <c r="X75" s="5"/>
      <c r="Y75" s="5"/>
      <c r="Z75" s="5"/>
    </row>
    <row r="76" ht="15.75" customHeight="1">
      <c r="A76" s="5"/>
      <c r="B76" s="5"/>
      <c r="C76" s="5"/>
      <c r="D76" s="5"/>
      <c r="E76" s="5"/>
      <c r="F76" s="5"/>
      <c r="G76" s="5"/>
      <c r="H76" s="5"/>
      <c r="I76" s="5"/>
      <c r="J76" s="5"/>
      <c r="K76" s="5"/>
      <c r="L76" s="5"/>
      <c r="M76" s="5"/>
      <c r="N76" s="5"/>
      <c r="O76" s="5"/>
      <c r="P76" s="5"/>
      <c r="Q76" s="5"/>
      <c r="R76" s="5"/>
      <c r="S76" s="5"/>
      <c r="T76" s="5"/>
      <c r="U76" s="5"/>
      <c r="V76" s="5"/>
      <c r="W76" s="5"/>
      <c r="X76" s="5"/>
      <c r="Y76" s="5"/>
      <c r="Z76" s="5"/>
    </row>
    <row r="77" ht="15.75" customHeight="1">
      <c r="A77" s="5"/>
      <c r="B77" s="5"/>
      <c r="C77" s="5"/>
      <c r="D77" s="5"/>
      <c r="E77" s="5"/>
      <c r="F77" s="5"/>
      <c r="G77" s="5"/>
      <c r="H77" s="5"/>
      <c r="I77" s="5"/>
      <c r="J77" s="5"/>
      <c r="K77" s="5"/>
      <c r="L77" s="5"/>
      <c r="M77" s="5"/>
      <c r="N77" s="5"/>
      <c r="O77" s="5"/>
      <c r="P77" s="5"/>
      <c r="Q77" s="5"/>
      <c r="R77" s="5"/>
      <c r="S77" s="5"/>
      <c r="T77" s="5"/>
      <c r="U77" s="5"/>
      <c r="V77" s="5"/>
      <c r="W77" s="5"/>
      <c r="X77" s="5"/>
      <c r="Y77" s="5"/>
      <c r="Z77" s="5"/>
    </row>
    <row r="78" ht="15.75" customHeight="1">
      <c r="A78" s="5"/>
      <c r="B78" s="5"/>
      <c r="C78" s="5"/>
      <c r="D78" s="5"/>
      <c r="E78" s="5"/>
      <c r="F78" s="5"/>
      <c r="G78" s="5"/>
      <c r="H78" s="5"/>
      <c r="I78" s="5"/>
      <c r="J78" s="5"/>
      <c r="K78" s="5"/>
      <c r="L78" s="5"/>
      <c r="M78" s="5"/>
      <c r="N78" s="5"/>
      <c r="O78" s="5"/>
      <c r="P78" s="5"/>
      <c r="Q78" s="5"/>
      <c r="R78" s="5"/>
      <c r="S78" s="5"/>
      <c r="T78" s="5"/>
      <c r="U78" s="5"/>
      <c r="V78" s="5"/>
      <c r="W78" s="5"/>
      <c r="X78" s="5"/>
      <c r="Y78" s="5"/>
      <c r="Z78" s="5"/>
    </row>
    <row r="79" ht="15.75" customHeight="1">
      <c r="A79" s="5"/>
      <c r="B79" s="5"/>
      <c r="C79" s="5"/>
      <c r="D79" s="5"/>
      <c r="E79" s="5"/>
      <c r="F79" s="5"/>
      <c r="G79" s="5"/>
      <c r="H79" s="5"/>
      <c r="I79" s="5"/>
      <c r="J79" s="5"/>
      <c r="K79" s="5"/>
      <c r="L79" s="5"/>
      <c r="M79" s="5"/>
      <c r="N79" s="5"/>
      <c r="O79" s="5"/>
      <c r="P79" s="5"/>
      <c r="Q79" s="5"/>
      <c r="R79" s="5"/>
      <c r="S79" s="5"/>
      <c r="T79" s="5"/>
      <c r="U79" s="5"/>
      <c r="V79" s="5"/>
      <c r="W79" s="5"/>
      <c r="X79" s="5"/>
      <c r="Y79" s="5"/>
      <c r="Z79" s="5"/>
    </row>
    <row r="80" ht="15.75" customHeight="1">
      <c r="A80" s="5"/>
      <c r="B80" s="5"/>
      <c r="C80" s="5"/>
      <c r="D80" s="5"/>
      <c r="E80" s="5"/>
      <c r="F80" s="5"/>
      <c r="G80" s="5"/>
      <c r="H80" s="5"/>
      <c r="I80" s="5"/>
      <c r="J80" s="5"/>
      <c r="K80" s="5"/>
      <c r="L80" s="5"/>
      <c r="M80" s="5"/>
      <c r="N80" s="5"/>
      <c r="O80" s="5"/>
      <c r="P80" s="5"/>
      <c r="Q80" s="5"/>
      <c r="R80" s="5"/>
      <c r="S80" s="5"/>
      <c r="T80" s="5"/>
      <c r="U80" s="5"/>
      <c r="V80" s="5"/>
      <c r="W80" s="5"/>
      <c r="X80" s="5"/>
      <c r="Y80" s="5"/>
      <c r="Z80" s="5"/>
    </row>
    <row r="81" ht="15.75" customHeight="1">
      <c r="A81" s="5"/>
      <c r="B81" s="5"/>
      <c r="C81" s="5"/>
      <c r="D81" s="5"/>
      <c r="E81" s="5"/>
      <c r="F81" s="5"/>
      <c r="G81" s="5"/>
      <c r="H81" s="5"/>
      <c r="I81" s="5"/>
      <c r="J81" s="5"/>
      <c r="K81" s="5"/>
      <c r="L81" s="5"/>
      <c r="M81" s="5"/>
      <c r="N81" s="5"/>
      <c r="O81" s="5"/>
      <c r="P81" s="5"/>
      <c r="Q81" s="5"/>
      <c r="R81" s="5"/>
      <c r="S81" s="5"/>
      <c r="T81" s="5"/>
      <c r="U81" s="5"/>
      <c r="V81" s="5"/>
      <c r="W81" s="5"/>
      <c r="X81" s="5"/>
      <c r="Y81" s="5"/>
      <c r="Z81" s="5"/>
    </row>
    <row r="82" ht="15.75" customHeight="1">
      <c r="A82" s="5"/>
      <c r="B82" s="5"/>
      <c r="C82" s="5"/>
      <c r="D82" s="5"/>
      <c r="E82" s="5"/>
      <c r="F82" s="5"/>
      <c r="G82" s="5"/>
      <c r="H82" s="5"/>
      <c r="I82" s="5"/>
      <c r="J82" s="5"/>
      <c r="K82" s="5"/>
      <c r="L82" s="5"/>
      <c r="M82" s="5"/>
      <c r="N82" s="5"/>
      <c r="O82" s="5"/>
      <c r="P82" s="5"/>
      <c r="Q82" s="5"/>
      <c r="R82" s="5"/>
      <c r="S82" s="5"/>
      <c r="T82" s="5"/>
      <c r="U82" s="5"/>
      <c r="V82" s="5"/>
      <c r="W82" s="5"/>
      <c r="X82" s="5"/>
      <c r="Y82" s="5"/>
      <c r="Z82" s="5"/>
    </row>
    <row r="83" ht="15.75" customHeight="1">
      <c r="A83" s="5"/>
      <c r="B83" s="5"/>
      <c r="C83" s="5"/>
      <c r="D83" s="5"/>
      <c r="E83" s="5"/>
      <c r="F83" s="5"/>
      <c r="G83" s="5"/>
      <c r="H83" s="5"/>
      <c r="I83" s="5"/>
      <c r="J83" s="5"/>
      <c r="K83" s="5"/>
      <c r="L83" s="5"/>
      <c r="M83" s="5"/>
      <c r="N83" s="5"/>
      <c r="O83" s="5"/>
      <c r="P83" s="5"/>
      <c r="Q83" s="5"/>
      <c r="R83" s="5"/>
      <c r="S83" s="5"/>
      <c r="T83" s="5"/>
      <c r="U83" s="5"/>
      <c r="V83" s="5"/>
      <c r="W83" s="5"/>
      <c r="X83" s="5"/>
      <c r="Y83" s="5"/>
      <c r="Z83" s="5"/>
    </row>
    <row r="84" ht="15.75" customHeight="1">
      <c r="A84" s="5"/>
      <c r="B84" s="5"/>
      <c r="C84" s="5"/>
      <c r="D84" s="5"/>
      <c r="E84" s="5"/>
      <c r="F84" s="5"/>
      <c r="G84" s="5"/>
      <c r="H84" s="5"/>
      <c r="I84" s="5"/>
      <c r="J84" s="5"/>
      <c r="K84" s="5"/>
      <c r="L84" s="5"/>
      <c r="M84" s="5"/>
      <c r="N84" s="5"/>
      <c r="O84" s="5"/>
      <c r="P84" s="5"/>
      <c r="Q84" s="5"/>
      <c r="R84" s="5"/>
      <c r="S84" s="5"/>
      <c r="T84" s="5"/>
      <c r="U84" s="5"/>
      <c r="V84" s="5"/>
      <c r="W84" s="5"/>
      <c r="X84" s="5"/>
      <c r="Y84" s="5"/>
      <c r="Z84" s="5"/>
    </row>
    <row r="85" ht="15.75" customHeight="1">
      <c r="A85" s="5"/>
      <c r="B85" s="5"/>
      <c r="C85" s="5"/>
      <c r="D85" s="5"/>
      <c r="E85" s="5"/>
      <c r="F85" s="5"/>
      <c r="G85" s="5"/>
      <c r="H85" s="5"/>
      <c r="I85" s="5"/>
      <c r="J85" s="5"/>
      <c r="K85" s="5"/>
      <c r="L85" s="5"/>
      <c r="M85" s="5"/>
      <c r="N85" s="5"/>
      <c r="O85" s="5"/>
      <c r="P85" s="5"/>
      <c r="Q85" s="5"/>
      <c r="R85" s="5"/>
      <c r="S85" s="5"/>
      <c r="T85" s="5"/>
      <c r="U85" s="5"/>
      <c r="V85" s="5"/>
      <c r="W85" s="5"/>
      <c r="X85" s="5"/>
      <c r="Y85" s="5"/>
      <c r="Z85" s="5"/>
    </row>
    <row r="86" ht="15.75" customHeight="1">
      <c r="A86" s="5"/>
      <c r="B86" s="5"/>
      <c r="C86" s="5"/>
      <c r="D86" s="5"/>
      <c r="E86" s="5"/>
      <c r="F86" s="5"/>
      <c r="G86" s="5"/>
      <c r="H86" s="5"/>
      <c r="I86" s="5"/>
      <c r="J86" s="5"/>
      <c r="K86" s="5"/>
      <c r="L86" s="5"/>
      <c r="M86" s="5"/>
      <c r="N86" s="5"/>
      <c r="O86" s="5"/>
      <c r="P86" s="5"/>
      <c r="Q86" s="5"/>
      <c r="R86" s="5"/>
      <c r="S86" s="5"/>
      <c r="T86" s="5"/>
      <c r="U86" s="5"/>
      <c r="V86" s="5"/>
      <c r="W86" s="5"/>
      <c r="X86" s="5"/>
      <c r="Y86" s="5"/>
      <c r="Z86" s="5"/>
    </row>
    <row r="87" ht="15.75" customHeight="1">
      <c r="A87" s="5"/>
      <c r="B87" s="5"/>
      <c r="C87" s="5"/>
      <c r="D87" s="5"/>
      <c r="E87" s="5"/>
      <c r="F87" s="5"/>
      <c r="G87" s="5"/>
      <c r="H87" s="5"/>
      <c r="I87" s="5"/>
      <c r="J87" s="5"/>
      <c r="K87" s="5"/>
      <c r="L87" s="5"/>
      <c r="M87" s="5"/>
      <c r="N87" s="5"/>
      <c r="O87" s="5"/>
      <c r="P87" s="5"/>
      <c r="Q87" s="5"/>
      <c r="R87" s="5"/>
      <c r="S87" s="5"/>
      <c r="T87" s="5"/>
      <c r="U87" s="5"/>
      <c r="V87" s="5"/>
      <c r="W87" s="5"/>
      <c r="X87" s="5"/>
      <c r="Y87" s="5"/>
      <c r="Z87" s="5"/>
    </row>
    <row r="88" ht="15.75" customHeight="1">
      <c r="A88" s="5"/>
      <c r="B88" s="5"/>
      <c r="C88" s="5"/>
      <c r="D88" s="5"/>
      <c r="E88" s="5"/>
      <c r="F88" s="5"/>
      <c r="G88" s="5"/>
      <c r="H88" s="5"/>
      <c r="I88" s="5"/>
      <c r="J88" s="5"/>
      <c r="K88" s="5"/>
      <c r="L88" s="5"/>
      <c r="M88" s="5"/>
      <c r="N88" s="5"/>
      <c r="O88" s="5"/>
      <c r="P88" s="5"/>
      <c r="Q88" s="5"/>
      <c r="R88" s="5"/>
      <c r="S88" s="5"/>
      <c r="T88" s="5"/>
      <c r="U88" s="5"/>
      <c r="V88" s="5"/>
      <c r="W88" s="5"/>
      <c r="X88" s="5"/>
      <c r="Y88" s="5"/>
      <c r="Z88" s="5"/>
    </row>
    <row r="89" ht="15.75" customHeight="1">
      <c r="A89" s="5"/>
      <c r="B89" s="5"/>
      <c r="C89" s="5"/>
      <c r="D89" s="5"/>
      <c r="E89" s="5"/>
      <c r="F89" s="5"/>
      <c r="G89" s="5"/>
      <c r="H89" s="5"/>
      <c r="I89" s="5"/>
      <c r="J89" s="5"/>
      <c r="K89" s="5"/>
      <c r="L89" s="5"/>
      <c r="M89" s="5"/>
      <c r="N89" s="5"/>
      <c r="O89" s="5"/>
      <c r="P89" s="5"/>
      <c r="Q89" s="5"/>
      <c r="R89" s="5"/>
      <c r="S89" s="5"/>
      <c r="T89" s="5"/>
      <c r="U89" s="5"/>
      <c r="V89" s="5"/>
      <c r="W89" s="5"/>
      <c r="X89" s="5"/>
      <c r="Y89" s="5"/>
      <c r="Z89" s="5"/>
    </row>
    <row r="90" ht="15.75" customHeight="1">
      <c r="A90" s="5"/>
      <c r="B90" s="5"/>
      <c r="C90" s="5"/>
      <c r="D90" s="5"/>
      <c r="E90" s="5"/>
      <c r="F90" s="5"/>
      <c r="G90" s="5"/>
      <c r="H90" s="5"/>
      <c r="I90" s="5"/>
      <c r="J90" s="5"/>
      <c r="K90" s="5"/>
      <c r="L90" s="5"/>
      <c r="M90" s="5"/>
      <c r="N90" s="5"/>
      <c r="O90" s="5"/>
      <c r="P90" s="5"/>
      <c r="Q90" s="5"/>
      <c r="R90" s="5"/>
      <c r="S90" s="5"/>
      <c r="T90" s="5"/>
      <c r="U90" s="5"/>
      <c r="V90" s="5"/>
      <c r="W90" s="5"/>
      <c r="X90" s="5"/>
      <c r="Y90" s="5"/>
      <c r="Z90" s="5"/>
    </row>
    <row r="91" ht="15.75" customHeight="1">
      <c r="A91" s="5"/>
      <c r="B91" s="5"/>
      <c r="C91" s="5"/>
      <c r="D91" s="5"/>
      <c r="E91" s="5"/>
      <c r="F91" s="5"/>
      <c r="G91" s="5"/>
      <c r="H91" s="5"/>
      <c r="I91" s="5"/>
      <c r="J91" s="5"/>
      <c r="K91" s="5"/>
      <c r="L91" s="5"/>
      <c r="M91" s="5"/>
      <c r="N91" s="5"/>
      <c r="O91" s="5"/>
      <c r="P91" s="5"/>
      <c r="Q91" s="5"/>
      <c r="R91" s="5"/>
      <c r="S91" s="5"/>
      <c r="T91" s="5"/>
      <c r="U91" s="5"/>
      <c r="V91" s="5"/>
      <c r="W91" s="5"/>
      <c r="X91" s="5"/>
      <c r="Y91" s="5"/>
      <c r="Z91" s="5"/>
    </row>
    <row r="92" ht="15.75" customHeight="1">
      <c r="A92" s="5"/>
      <c r="B92" s="5"/>
      <c r="C92" s="5"/>
      <c r="D92" s="5"/>
      <c r="E92" s="5"/>
      <c r="F92" s="5"/>
      <c r="G92" s="5"/>
      <c r="H92" s="5"/>
      <c r="I92" s="5"/>
      <c r="J92" s="5"/>
      <c r="K92" s="5"/>
      <c r="L92" s="5"/>
      <c r="M92" s="5"/>
      <c r="N92" s="5"/>
      <c r="O92" s="5"/>
      <c r="P92" s="5"/>
      <c r="Q92" s="5"/>
      <c r="R92" s="5"/>
      <c r="S92" s="5"/>
      <c r="T92" s="5"/>
      <c r="U92" s="5"/>
      <c r="V92" s="5"/>
      <c r="W92" s="5"/>
      <c r="X92" s="5"/>
      <c r="Y92" s="5"/>
      <c r="Z92" s="5"/>
    </row>
    <row r="93" ht="15.75" customHeight="1">
      <c r="A93" s="5"/>
      <c r="B93" s="5"/>
      <c r="C93" s="5"/>
      <c r="D93" s="5"/>
      <c r="E93" s="5"/>
      <c r="F93" s="5"/>
      <c r="G93" s="5"/>
      <c r="H93" s="5"/>
      <c r="I93" s="5"/>
      <c r="J93" s="5"/>
      <c r="K93" s="5"/>
      <c r="L93" s="5"/>
      <c r="M93" s="5"/>
      <c r="N93" s="5"/>
      <c r="O93" s="5"/>
      <c r="P93" s="5"/>
      <c r="Q93" s="5"/>
      <c r="R93" s="5"/>
      <c r="S93" s="5"/>
      <c r="T93" s="5"/>
      <c r="U93" s="5"/>
      <c r="V93" s="5"/>
      <c r="W93" s="5"/>
      <c r="X93" s="5"/>
      <c r="Y93" s="5"/>
      <c r="Z93" s="5"/>
    </row>
    <row r="94" ht="15.75" customHeight="1">
      <c r="A94" s="5"/>
      <c r="B94" s="5"/>
      <c r="C94" s="5"/>
      <c r="D94" s="5"/>
      <c r="E94" s="5"/>
      <c r="F94" s="5"/>
      <c r="G94" s="5"/>
      <c r="H94" s="5"/>
      <c r="I94" s="5"/>
      <c r="J94" s="5"/>
      <c r="K94" s="5"/>
      <c r="L94" s="5"/>
      <c r="M94" s="5"/>
      <c r="N94" s="5"/>
      <c r="O94" s="5"/>
      <c r="P94" s="5"/>
      <c r="Q94" s="5"/>
      <c r="R94" s="5"/>
      <c r="S94" s="5"/>
      <c r="T94" s="5"/>
      <c r="U94" s="5"/>
      <c r="V94" s="5"/>
      <c r="W94" s="5"/>
      <c r="X94" s="5"/>
      <c r="Y94" s="5"/>
      <c r="Z94" s="5"/>
    </row>
    <row r="95" ht="15.75" customHeight="1">
      <c r="A95" s="5"/>
      <c r="B95" s="5"/>
      <c r="C95" s="5"/>
      <c r="D95" s="5"/>
      <c r="E95" s="5"/>
      <c r="F95" s="5"/>
      <c r="G95" s="5"/>
      <c r="H95" s="5"/>
      <c r="I95" s="5"/>
      <c r="J95" s="5"/>
      <c r="K95" s="5"/>
      <c r="L95" s="5"/>
      <c r="M95" s="5"/>
      <c r="N95" s="5"/>
      <c r="O95" s="5"/>
      <c r="P95" s="5"/>
      <c r="Q95" s="5"/>
      <c r="R95" s="5"/>
      <c r="S95" s="5"/>
      <c r="T95" s="5"/>
      <c r="U95" s="5"/>
      <c r="V95" s="5"/>
      <c r="W95" s="5"/>
      <c r="X95" s="5"/>
      <c r="Y95" s="5"/>
      <c r="Z95" s="5"/>
    </row>
    <row r="96" ht="15.75" customHeight="1">
      <c r="A96" s="5"/>
      <c r="B96" s="5"/>
      <c r="C96" s="5"/>
      <c r="D96" s="5"/>
      <c r="E96" s="5"/>
      <c r="F96" s="5"/>
      <c r="G96" s="5"/>
      <c r="H96" s="5"/>
      <c r="I96" s="5"/>
      <c r="J96" s="5"/>
      <c r="K96" s="5"/>
      <c r="L96" s="5"/>
      <c r="M96" s="5"/>
      <c r="N96" s="5"/>
      <c r="O96" s="5"/>
      <c r="P96" s="5"/>
      <c r="Q96" s="5"/>
      <c r="R96" s="5"/>
      <c r="S96" s="5"/>
      <c r="T96" s="5"/>
      <c r="U96" s="5"/>
      <c r="V96" s="5"/>
      <c r="W96" s="5"/>
      <c r="X96" s="5"/>
      <c r="Y96" s="5"/>
      <c r="Z96" s="5"/>
    </row>
    <row r="97" ht="15.75" customHeight="1">
      <c r="A97" s="5"/>
      <c r="B97" s="5"/>
      <c r="C97" s="5"/>
      <c r="D97" s="5"/>
      <c r="E97" s="5"/>
      <c r="F97" s="5"/>
      <c r="G97" s="5"/>
      <c r="H97" s="5"/>
      <c r="I97" s="5"/>
      <c r="J97" s="5"/>
      <c r="K97" s="5"/>
      <c r="L97" s="5"/>
      <c r="M97" s="5"/>
      <c r="N97" s="5"/>
      <c r="O97" s="5"/>
      <c r="P97" s="5"/>
      <c r="Q97" s="5"/>
      <c r="R97" s="5"/>
      <c r="S97" s="5"/>
      <c r="T97" s="5"/>
      <c r="U97" s="5"/>
      <c r="V97" s="5"/>
      <c r="W97" s="5"/>
      <c r="X97" s="5"/>
      <c r="Y97" s="5"/>
      <c r="Z97" s="5"/>
    </row>
    <row r="98" ht="15.75" customHeight="1">
      <c r="A98" s="5"/>
      <c r="B98" s="5"/>
      <c r="C98" s="5"/>
      <c r="D98" s="5"/>
      <c r="E98" s="5"/>
      <c r="F98" s="5"/>
      <c r="G98" s="5"/>
      <c r="H98" s="5"/>
      <c r="I98" s="5"/>
      <c r="J98" s="5"/>
      <c r="K98" s="5"/>
      <c r="L98" s="5"/>
      <c r="M98" s="5"/>
      <c r="N98" s="5"/>
      <c r="O98" s="5"/>
      <c r="P98" s="5"/>
      <c r="Q98" s="5"/>
      <c r="R98" s="5"/>
      <c r="S98" s="5"/>
      <c r="T98" s="5"/>
      <c r="U98" s="5"/>
      <c r="V98" s="5"/>
      <c r="W98" s="5"/>
      <c r="X98" s="5"/>
      <c r="Y98" s="5"/>
      <c r="Z98" s="5"/>
    </row>
    <row r="99" ht="15.75" customHeight="1">
      <c r="A99" s="5"/>
      <c r="B99" s="5"/>
      <c r="C99" s="5"/>
      <c r="D99" s="5"/>
      <c r="E99" s="5"/>
      <c r="F99" s="5"/>
      <c r="G99" s="5"/>
      <c r="H99" s="5"/>
      <c r="I99" s="5"/>
      <c r="J99" s="5"/>
      <c r="K99" s="5"/>
      <c r="L99" s="5"/>
      <c r="M99" s="5"/>
      <c r="N99" s="5"/>
      <c r="O99" s="5"/>
      <c r="P99" s="5"/>
      <c r="Q99" s="5"/>
      <c r="R99" s="5"/>
      <c r="S99" s="5"/>
      <c r="T99" s="5"/>
      <c r="U99" s="5"/>
      <c r="V99" s="5"/>
      <c r="W99" s="5"/>
      <c r="X99" s="5"/>
      <c r="Y99" s="5"/>
      <c r="Z99" s="5"/>
    </row>
    <row r="100" ht="15.7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ht="15.7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ht="15.7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ht="15.7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ht="15.7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ht="15.7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ht="15.7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ht="15.7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ht="15.7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ht="15.7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ht="15.7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ht="15.7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ht="15.7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ht="15.7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ht="15.7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ht="15.7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ht="15.7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ht="15.7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ht="15.7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ht="15.7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ht="15.7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ht="15.7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ht="15.7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ht="15.7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ht="15.7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ht="15.7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ht="15.7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ht="15.7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ht="15.7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ht="15.7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ht="15.7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ht="15.7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ht="15.7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ht="15.7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ht="15.7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ht="15.7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ht="15.7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ht="15.7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ht="15.7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ht="15.7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ht="15.7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ht="15.7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ht="15.7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ht="15.7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ht="15.7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ht="15.7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ht="15.7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ht="15.7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ht="15.7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ht="15.7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ht="15.7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ht="15.7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ht="15.7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ht="15.7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ht="15.7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ht="15.7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ht="15.7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ht="15.7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ht="15.7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ht="15.7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ht="15.7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ht="15.7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ht="15.7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ht="15.7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ht="15.7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ht="15.7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ht="15.7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ht="15.7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ht="15.7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ht="15.7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ht="15.7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ht="15.7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ht="15.7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ht="15.7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ht="15.7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ht="15.7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ht="15.7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ht="15.7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ht="15.7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ht="15.7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ht="15.7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ht="15.7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ht="15.7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ht="15.7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ht="15.7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ht="15.7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ht="15.7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ht="15.7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ht="15.7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ht="15.7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ht="15.7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ht="15.7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ht="15.7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ht="15.7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ht="15.7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ht="15.7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ht="15.7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ht="15.7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ht="15.7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ht="15.7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ht="15.7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ht="15.7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ht="15.7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ht="15.7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ht="15.7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ht="15.7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ht="15.7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ht="15.7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ht="15.7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ht="15.7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ht="15.7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ht="15.7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ht="15.7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ht="15.7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ht="15.7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ht="15.7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ht="15.7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ht="15.7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ht="15.7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ht="15.7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ht="15.7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ht="15.7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ht="15.7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ht="15.7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ht="15.7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ht="15.7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ht="15.7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ht="15.7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ht="15.7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ht="15.7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ht="15.7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ht="15.7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ht="15.7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ht="15.7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ht="15.7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ht="15.7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ht="15.7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ht="15.7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ht="15.7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ht="15.7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ht="15.7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ht="15.7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ht="15.7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ht="15.7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ht="15.7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ht="15.7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ht="15.7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ht="15.7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ht="15.7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ht="15.7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ht="15.7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ht="15.7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ht="15.7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ht="15.7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ht="15.7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ht="15.7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ht="15.7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ht="15.7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ht="15.7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ht="15.7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ht="15.7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ht="15.7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ht="15.7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ht="15.7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ht="15.7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ht="15.7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ht="15.7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ht="15.7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ht="15.7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ht="15.7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ht="15.7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ht="15.7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ht="15.7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ht="15.7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ht="15.7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ht="15.7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ht="15.7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ht="15.7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ht="15.7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ht="15.7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ht="15.7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ht="15.7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ht="15.7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ht="15.7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ht="15.7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ht="15.7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ht="15.7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ht="15.7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ht="15.7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ht="15.7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ht="15.7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ht="15.7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ht="15.7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ht="15.7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ht="15.7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ht="15.7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ht="15.7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ht="15.7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ht="15.7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ht="15.7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ht="15.7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ht="15.7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ht="15.7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ht="15.7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ht="15.7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ht="15.7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ht="15.7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ht="15.7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ht="15.7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ht="15.7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ht="15.7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ht="15.7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ht="15.7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ht="15.7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ht="15.7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ht="15.7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ht="15.7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ht="15.7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ht="15.7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ht="15.7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ht="15.7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ht="15.7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ht="15.7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ht="15.7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ht="15.7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ht="15.7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ht="15.7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ht="15.7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ht="15.7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ht="15.7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ht="15.7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ht="15.7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ht="15.7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ht="15.7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ht="15.7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ht="15.7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ht="15.7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ht="15.7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ht="15.7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ht="15.7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ht="15.7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ht="15.7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ht="15.7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ht="15.7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ht="15.7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ht="15.7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ht="15.7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ht="15.7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ht="15.7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ht="15.7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ht="15.7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ht="15.7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ht="15.7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ht="15.7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ht="15.7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ht="15.7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ht="15.7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ht="15.7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ht="15.7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ht="15.7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ht="15.7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ht="15.7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ht="15.7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ht="15.7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ht="15.7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ht="15.7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ht="15.7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ht="15.7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ht="15.7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ht="15.7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ht="15.7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ht="15.7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ht="15.7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ht="15.7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ht="15.7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ht="15.7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ht="15.7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ht="15.7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ht="15.7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ht="15.7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ht="15.7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ht="15.7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ht="15.7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ht="15.7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ht="15.7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ht="15.7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ht="15.7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ht="15.7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ht="15.7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ht="15.7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ht="15.7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ht="15.7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ht="15.7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ht="15.7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ht="15.7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ht="15.7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ht="15.7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ht="15.7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ht="15.7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ht="15.7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ht="15.7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ht="15.7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ht="15.7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ht="15.7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ht="15.7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ht="15.7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ht="15.7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ht="15.7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ht="15.7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ht="15.7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ht="15.7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ht="15.7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ht="15.7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ht="15.7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ht="15.7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ht="15.7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ht="15.7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ht="15.7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ht="15.7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ht="15.7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ht="15.7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ht="15.7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ht="15.7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ht="15.7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ht="15.7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ht="15.7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ht="15.7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ht="15.7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ht="15.7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ht="15.7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ht="15.7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ht="15.7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ht="15.7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ht="15.7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ht="15.7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ht="15.7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ht="15.7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ht="15.7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ht="15.7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ht="15.7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ht="15.7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ht="15.7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ht="15.7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ht="15.7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ht="15.7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ht="15.7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ht="15.7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ht="15.7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ht="15.7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ht="15.7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ht="15.7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ht="15.7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ht="15.7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ht="15.7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ht="15.7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ht="15.7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ht="15.7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ht="15.7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ht="15.7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ht="15.7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ht="15.7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ht="15.7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ht="15.7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ht="15.7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ht="15.7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ht="15.7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ht="15.7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ht="15.7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ht="15.7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ht="15.7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ht="15.7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ht="15.7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ht="15.7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ht="15.7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ht="15.7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ht="15.7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ht="15.7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ht="15.7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ht="15.7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ht="15.7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ht="15.7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ht="15.7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ht="15.7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ht="15.7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ht="15.7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ht="15.7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ht="15.7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ht="15.7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ht="15.7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ht="15.7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ht="15.7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ht="15.7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ht="15.7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ht="15.7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ht="15.7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ht="15.7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ht="15.7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ht="15.7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ht="15.7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ht="15.7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ht="15.7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ht="15.7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ht="15.7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ht="15.7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ht="15.7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ht="15.7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ht="15.7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ht="15.7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ht="15.7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ht="15.7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ht="15.7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ht="15.7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ht="15.7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ht="15.7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ht="15.7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ht="15.7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ht="15.7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ht="15.7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ht="15.7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ht="15.7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ht="15.7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ht="15.7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ht="15.7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ht="15.7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ht="15.7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ht="15.7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ht="15.7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ht="15.7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ht="15.7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ht="15.7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ht="15.7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ht="15.7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ht="15.7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ht="15.7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ht="15.7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ht="15.7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ht="15.7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ht="15.7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ht="15.7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ht="15.7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ht="15.7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ht="15.7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ht="15.7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ht="15.7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ht="15.7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ht="15.7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ht="15.7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ht="15.7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ht="15.7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ht="15.7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ht="15.7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ht="15.7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ht="15.7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ht="15.7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ht="15.7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ht="15.7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ht="15.7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ht="15.7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ht="15.7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ht="15.7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ht="15.7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ht="15.7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ht="15.7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ht="15.7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ht="15.7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ht="15.7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ht="15.7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ht="15.7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ht="15.7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ht="15.7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ht="15.7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ht="15.7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ht="15.7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ht="15.7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ht="15.7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ht="15.7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ht="15.7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ht="15.7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ht="15.7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ht="15.7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ht="15.7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ht="15.7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ht="15.7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ht="15.7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ht="15.7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ht="15.7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ht="15.7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ht="15.7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ht="15.7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ht="15.7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ht="15.7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ht="15.7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ht="15.7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ht="15.7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ht="15.7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ht="15.7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ht="15.7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ht="15.7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ht="15.7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ht="15.7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ht="15.7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ht="15.7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ht="15.7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ht="15.7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ht="15.7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ht="15.7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ht="15.7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ht="15.7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ht="15.7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ht="15.7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ht="15.7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ht="15.7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ht="15.7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ht="15.7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ht="15.7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ht="15.7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ht="15.7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ht="15.7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ht="15.7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ht="15.7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ht="15.7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ht="15.7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ht="15.7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ht="15.7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ht="15.7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ht="15.7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ht="15.7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ht="15.7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ht="15.7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ht="15.7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ht="15.7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ht="15.7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ht="15.7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ht="15.7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ht="15.7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ht="15.7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ht="15.7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ht="15.7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ht="15.7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ht="15.7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ht="15.7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ht="15.7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ht="15.7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ht="15.7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ht="15.7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ht="15.7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ht="15.7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ht="15.7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ht="15.7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ht="15.7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ht="15.7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ht="15.7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ht="15.7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ht="15.7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ht="15.7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ht="15.7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ht="15.7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ht="15.7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ht="15.7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ht="15.7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ht="15.7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ht="15.7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ht="15.7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ht="15.7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ht="15.7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ht="15.7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ht="15.7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ht="15.7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ht="15.7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ht="15.7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ht="15.7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ht="15.7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ht="15.7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ht="15.7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ht="15.7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ht="15.7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ht="15.7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ht="15.7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ht="15.7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ht="15.7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ht="15.7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ht="15.7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ht="15.7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ht="15.7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ht="15.7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ht="15.7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ht="15.7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ht="15.7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ht="15.7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ht="15.7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ht="15.7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ht="15.7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ht="15.7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ht="15.7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ht="15.7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ht="15.7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ht="15.7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ht="15.7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ht="15.7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ht="15.7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ht="15.7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ht="15.7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ht="15.7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ht="15.7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ht="15.7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ht="15.7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ht="15.7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ht="15.7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ht="15.7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ht="15.7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ht="15.7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ht="15.7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ht="15.7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ht="15.7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ht="15.7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ht="15.7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ht="15.7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ht="15.7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ht="15.7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ht="15.7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ht="15.7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ht="15.7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ht="15.7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ht="15.7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ht="15.7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ht="15.7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ht="15.7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ht="15.7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ht="15.7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ht="15.7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ht="15.7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ht="15.7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ht="15.7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ht="15.7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ht="15.7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ht="15.7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ht="15.7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ht="15.7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ht="15.7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ht="15.7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ht="15.7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ht="15.7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ht="15.7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ht="15.7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ht="15.7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ht="15.7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ht="15.7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ht="15.7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ht="15.7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ht="15.7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ht="15.7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ht="15.7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ht="15.7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ht="15.7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ht="15.7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ht="15.7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ht="15.7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ht="15.7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ht="15.7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ht="15.7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ht="15.7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ht="15.7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ht="15.7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ht="15.7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ht="15.7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ht="15.7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ht="15.7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ht="15.7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ht="15.7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ht="15.7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ht="15.7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ht="15.7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ht="15.7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ht="15.7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ht="15.7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ht="15.7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ht="15.7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ht="15.7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ht="15.7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ht="15.7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ht="15.7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ht="15.7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ht="15.7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ht="15.7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ht="15.7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ht="15.7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ht="15.7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ht="15.7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ht="15.7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ht="15.7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ht="15.7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ht="15.7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ht="15.7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ht="15.7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ht="15.7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ht="15.7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ht="15.7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ht="15.7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ht="15.7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ht="15.7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ht="15.7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ht="15.7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ht="15.7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ht="15.7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ht="15.7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ht="15.7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ht="15.7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ht="15.7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ht="15.7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ht="15.7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ht="15.7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ht="15.7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ht="15.7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ht="15.7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ht="15.7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ht="15.7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ht="15.7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ht="15.7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ht="15.7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ht="15.7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ht="15.7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ht="15.7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ht="15.7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ht="15.7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ht="15.7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ht="15.7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ht="15.7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ht="15.7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ht="15.7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ht="15.7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ht="15.7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ht="15.7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ht="15.7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ht="15.7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ht="15.7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ht="15.7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ht="15.7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ht="15.7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ht="15.7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ht="15.7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ht="15.7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ht="15.7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ht="15.7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ht="15.7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ht="15.7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ht="15.7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ht="15.7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ht="15.7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ht="15.7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ht="15.7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ht="15.7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ht="15.7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ht="15.7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ht="15.7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ht="15.7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ht="15.7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ht="15.7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ht="15.7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ht="15.7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ht="15.7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ht="15.7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ht="15.7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ht="15.7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ht="15.7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ht="15.7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ht="15.7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ht="15.7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ht="15.7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ht="15.7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ht="15.7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ht="15.7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ht="15.7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ht="15.7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ht="15.7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ht="15.7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ht="15.7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ht="15.7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ht="15.7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ht="15.7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ht="15.7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ht="15.7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ht="15.7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ht="15.7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ht="15.7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ht="15.7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ht="15.7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ht="15.7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ht="15.7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ht="15.7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ht="15.7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ht="15.7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ht="15.7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ht="15.7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ht="15.7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ht="15.7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ht="15.7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ht="15.7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ht="15.7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ht="15.7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ht="15.7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ht="15.7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ht="15.7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ht="15.7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ht="15.7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ht="15.7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ht="15.7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ht="15.7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ht="15.7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ht="15.7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ht="15.7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ht="15.7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ht="15.7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ht="15.7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ht="15.7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ht="15.7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ht="15.7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ht="15.7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ht="15.7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ht="15.7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ht="15.7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ht="15.7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ht="15.7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ht="15.7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ht="15.7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ht="15.7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ht="15.7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ht="15.7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ht="15.7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ht="15.7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ht="15.7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ht="15.7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ht="15.7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ht="15.7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ht="15.7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ht="15.7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ht="15.7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ht="15.7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ht="15.7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ht="15.7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ht="15.7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ht="15.7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ht="15.7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ht="15.7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ht="15.7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ht="15.7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ht="15.7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ht="15.7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ht="15.7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ht="15.7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ht="15.7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ht="15.7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ht="15.7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ht="15.7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ht="15.7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ht="15.7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ht="15.7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ht="15.7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ht="15.7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ht="15.7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ht="15.7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ht="15.7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ht="15.7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ht="15.7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ht="15.7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ht="15.7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ht="15.7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ht="15.7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ht="15.7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ht="15.7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ht="15.7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ht="15.7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ht="15.7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ht="15.7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ht="15.7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ht="15.7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ht="15.7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ht="15.7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ht="15.7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ht="15.7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ht="15.7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ht="15.7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ht="15.7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ht="15.7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ht="15.7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ht="15.7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ht="15.7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ht="15.7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ht="15.75"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ht="15.75"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ht="15.75"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ht="15.75" customHeight="1">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ht="15.75" customHeight="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ht="15.75" customHeight="1">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ht="15.75" customHeight="1">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ht="15.75" customHeight="1">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ht="15.75" customHeight="1">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ht="15.75" customHeight="1">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ht="15.75" customHeight="1">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ht="15.75" customHeight="1">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ht="15.75" customHeight="1">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ht="15.75" customHeight="1">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4.43" defaultRowHeight="15.0"/>
  <cols>
    <col customWidth="1" min="1" max="1" width="9.29"/>
    <col customWidth="1" hidden="1" min="2" max="2" width="20.0"/>
    <col customWidth="1" min="3" max="3" width="39.0"/>
    <col customWidth="1" hidden="1" min="4" max="4" width="30.0"/>
    <col customWidth="1" hidden="1" min="5" max="5" width="14.0"/>
    <col customWidth="1" hidden="1" min="6" max="6" width="12.0"/>
    <col customWidth="1" hidden="1" min="7" max="7" width="13.0"/>
    <col customWidth="1" hidden="1" min="8" max="9" width="12.0"/>
    <col customWidth="1" hidden="1" min="10" max="11" width="22.0"/>
    <col customWidth="1" hidden="1" min="12" max="12" width="20.0"/>
    <col customWidth="1" hidden="1" min="13" max="13" width="12.0"/>
    <col customWidth="1" min="14" max="15" width="14.0"/>
    <col customWidth="1" min="16" max="18" width="10.0"/>
    <col customWidth="1" min="19" max="19" width="14.0"/>
    <col customWidth="1" min="20" max="20" width="12.0"/>
    <col customWidth="1" min="21" max="23" width="13.0"/>
    <col customWidth="1" min="24" max="24" width="14.29"/>
    <col customWidth="1" min="25" max="26" width="12.0"/>
    <col customWidth="1" min="27" max="27" width="13.0"/>
    <col customWidth="1" min="28" max="28" width="12.0"/>
    <col customWidth="1" min="29" max="29" width="17.71"/>
    <col customWidth="1" min="30" max="30" width="18.14"/>
    <col customWidth="1" min="31" max="32" width="14.0"/>
    <col customWidth="1" min="33" max="33" width="9.0"/>
    <col customWidth="1" min="34" max="35" width="10.0"/>
    <col customWidth="1" min="36" max="37" width="26.0"/>
    <col customWidth="1" min="38" max="38" width="30.0"/>
    <col customWidth="1" min="39" max="40" width="26.0"/>
    <col customWidth="1" min="41" max="41" width="36.0"/>
    <col customWidth="1" min="42" max="42" width="15.86"/>
    <col customWidth="1" min="43" max="43" width="12.0"/>
    <col customWidth="1" min="44" max="44" width="20.0"/>
    <col customWidth="1" min="45" max="45" width="14.0"/>
    <col customWidth="1" min="46" max="47" width="30.0"/>
  </cols>
  <sheetData>
    <row r="1" ht="91.5" customHeight="1">
      <c r="A1" s="1" t="s">
        <v>0</v>
      </c>
      <c r="B1" s="1" t="s">
        <v>3</v>
      </c>
      <c r="C1" s="4" t="s">
        <v>4</v>
      </c>
      <c r="D1" s="1" t="s">
        <v>10</v>
      </c>
      <c r="E1" s="1" t="s">
        <v>11</v>
      </c>
      <c r="F1" s="1" t="s">
        <v>12</v>
      </c>
      <c r="G1" s="1" t="s">
        <v>13</v>
      </c>
      <c r="H1" s="1" t="s">
        <v>14</v>
      </c>
      <c r="I1" s="1" t="s">
        <v>16</v>
      </c>
      <c r="J1" s="1" t="s">
        <v>17</v>
      </c>
      <c r="K1" s="1" t="s">
        <v>18</v>
      </c>
      <c r="L1" s="1" t="s">
        <v>19</v>
      </c>
      <c r="M1" s="1" t="s">
        <v>20</v>
      </c>
      <c r="N1" s="6" t="s">
        <v>21</v>
      </c>
      <c r="O1" s="6" t="s">
        <v>23</v>
      </c>
      <c r="P1" s="6" t="s">
        <v>25</v>
      </c>
      <c r="Q1" s="6" t="s">
        <v>26</v>
      </c>
      <c r="R1" s="6" t="s">
        <v>28</v>
      </c>
      <c r="S1" s="6" t="s">
        <v>30</v>
      </c>
      <c r="T1" s="6" t="s">
        <v>33</v>
      </c>
      <c r="U1" s="6" t="s">
        <v>35</v>
      </c>
      <c r="V1" s="6" t="s">
        <v>36</v>
      </c>
      <c r="W1" s="6" t="s">
        <v>38</v>
      </c>
      <c r="X1" s="6" t="s">
        <v>39</v>
      </c>
      <c r="Y1" s="6" t="s">
        <v>42</v>
      </c>
      <c r="Z1" s="6" t="s">
        <v>43</v>
      </c>
      <c r="AA1" s="6" t="s">
        <v>45</v>
      </c>
      <c r="AB1" s="6" t="s">
        <v>47</v>
      </c>
      <c r="AC1" s="6" t="s">
        <v>50</v>
      </c>
      <c r="AD1" s="6" t="s">
        <v>51</v>
      </c>
      <c r="AE1" s="6" t="s">
        <v>53</v>
      </c>
      <c r="AF1" s="6" t="s">
        <v>55</v>
      </c>
      <c r="AG1" s="6" t="s">
        <v>56</v>
      </c>
      <c r="AH1" s="6" t="s">
        <v>58</v>
      </c>
      <c r="AI1" s="6" t="s">
        <v>59</v>
      </c>
      <c r="AJ1" s="6" t="s">
        <v>60</v>
      </c>
      <c r="AK1" s="6" t="s">
        <v>61</v>
      </c>
      <c r="AL1" s="6" t="s">
        <v>63</v>
      </c>
      <c r="AM1" s="6" t="s">
        <v>65</v>
      </c>
      <c r="AN1" s="6" t="s">
        <v>68</v>
      </c>
      <c r="AO1" s="6" t="s">
        <v>70</v>
      </c>
      <c r="AP1" s="6" t="s">
        <v>71</v>
      </c>
      <c r="AQ1" s="6" t="s">
        <v>73</v>
      </c>
      <c r="AR1" s="6" t="s">
        <v>74</v>
      </c>
      <c r="AS1" s="6" t="s">
        <v>75</v>
      </c>
      <c r="AT1" s="6" t="s">
        <v>76</v>
      </c>
      <c r="AU1" s="6" t="s">
        <v>77</v>
      </c>
    </row>
    <row r="2" ht="24.0" hidden="1" customHeight="1">
      <c r="A2" s="12">
        <v>2.0</v>
      </c>
      <c r="B2" s="12"/>
      <c r="C2" s="13" t="s">
        <v>85</v>
      </c>
      <c r="D2" s="13"/>
      <c r="E2" s="12" t="s">
        <v>88</v>
      </c>
      <c r="F2" s="12">
        <v>1.0</v>
      </c>
      <c r="G2" s="12">
        <v>250.0</v>
      </c>
      <c r="H2" s="12"/>
      <c r="I2" s="12" t="s">
        <v>92</v>
      </c>
      <c r="J2" s="13"/>
      <c r="K2" s="13" t="s">
        <v>94</v>
      </c>
      <c r="L2" s="13"/>
      <c r="M2" s="12" t="s">
        <v>95</v>
      </c>
      <c r="N2" s="14" t="s">
        <v>97</v>
      </c>
      <c r="O2" s="14" t="s">
        <v>100</v>
      </c>
      <c r="P2" s="15">
        <v>11.1085</v>
      </c>
      <c r="Q2" s="15">
        <v>77.3411</v>
      </c>
      <c r="R2" s="15">
        <v>1993.0</v>
      </c>
      <c r="S2" s="14" t="s">
        <v>104</v>
      </c>
      <c r="T2" s="15">
        <v>200.0</v>
      </c>
      <c r="U2" s="14" t="s">
        <v>105</v>
      </c>
      <c r="V2" s="14" t="s">
        <v>105</v>
      </c>
      <c r="W2" s="14" t="s">
        <v>105</v>
      </c>
      <c r="X2" s="14" t="s">
        <v>105</v>
      </c>
      <c r="Y2" s="14" t="s">
        <v>105</v>
      </c>
      <c r="Z2" s="14" t="s">
        <v>105</v>
      </c>
      <c r="AA2" s="14" t="s">
        <v>105</v>
      </c>
      <c r="AB2" s="14" t="s">
        <v>105</v>
      </c>
      <c r="AC2" s="14" t="s">
        <v>105</v>
      </c>
      <c r="AD2" s="14" t="s">
        <v>105</v>
      </c>
      <c r="AE2" s="17" t="s">
        <v>106</v>
      </c>
      <c r="AF2" s="17" t="s">
        <v>88</v>
      </c>
      <c r="AG2" s="14" t="s">
        <v>105</v>
      </c>
      <c r="AH2" s="17" t="s">
        <v>88</v>
      </c>
      <c r="AI2" s="18" t="s">
        <v>72</v>
      </c>
      <c r="AJ2" s="14" t="s">
        <v>105</v>
      </c>
      <c r="AK2" s="14" t="s">
        <v>105</v>
      </c>
      <c r="AL2" s="14" t="s">
        <v>137</v>
      </c>
      <c r="AM2" s="14" t="s">
        <v>138</v>
      </c>
      <c r="AN2" s="14" t="s">
        <v>139</v>
      </c>
      <c r="AO2" s="22" t="s">
        <v>140</v>
      </c>
      <c r="AP2" s="14" t="s">
        <v>176</v>
      </c>
      <c r="AQ2" s="23">
        <v>46277.0</v>
      </c>
      <c r="AR2" s="24" t="s">
        <v>190</v>
      </c>
      <c r="AS2" s="25" t="s">
        <v>193</v>
      </c>
      <c r="AT2" s="25" t="s">
        <v>196</v>
      </c>
      <c r="AU2" s="14" t="s">
        <v>197</v>
      </c>
    </row>
    <row r="3" ht="33.75" hidden="1" customHeight="1">
      <c r="A3" s="26">
        <v>1.0</v>
      </c>
      <c r="B3" s="26" t="s">
        <v>201</v>
      </c>
      <c r="C3" s="27" t="s">
        <v>203</v>
      </c>
      <c r="D3" s="27"/>
      <c r="E3" s="26" t="s">
        <v>201</v>
      </c>
      <c r="F3" s="26">
        <v>5.0</v>
      </c>
      <c r="G3" s="26">
        <v>10500.0</v>
      </c>
      <c r="H3" s="26">
        <v>75.8</v>
      </c>
      <c r="I3" s="26" t="s">
        <v>128</v>
      </c>
      <c r="J3" s="27"/>
      <c r="K3" s="27" t="s">
        <v>93</v>
      </c>
      <c r="L3" s="27" t="s">
        <v>205</v>
      </c>
      <c r="M3" s="26" t="s">
        <v>95</v>
      </c>
      <c r="N3" s="28" t="s">
        <v>206</v>
      </c>
      <c r="O3" s="28" t="s">
        <v>209</v>
      </c>
      <c r="P3" s="29">
        <v>23.0225</v>
      </c>
      <c r="Q3" s="29">
        <v>72.5714</v>
      </c>
      <c r="R3" s="29">
        <v>1931.0</v>
      </c>
      <c r="S3" s="28" t="s">
        <v>198</v>
      </c>
      <c r="T3" s="29">
        <v>33311.0</v>
      </c>
      <c r="U3" s="29">
        <v>253283.0</v>
      </c>
      <c r="V3" s="29">
        <v>190808.0</v>
      </c>
      <c r="W3" s="29">
        <v>444091.0</v>
      </c>
      <c r="X3" s="29">
        <v>37.0</v>
      </c>
      <c r="Y3" s="29">
        <v>6187.58</v>
      </c>
      <c r="Z3" s="29" t="s">
        <v>105</v>
      </c>
      <c r="AA3" s="29">
        <v>2645994.0</v>
      </c>
      <c r="AB3" s="29">
        <v>34493.0</v>
      </c>
      <c r="AC3" s="29">
        <v>71.77135488</v>
      </c>
      <c r="AD3" s="29">
        <v>80.0</v>
      </c>
      <c r="AE3" s="30" t="s">
        <v>218</v>
      </c>
      <c r="AF3" s="30" t="s">
        <v>88</v>
      </c>
      <c r="AG3" s="30" t="s">
        <v>105</v>
      </c>
      <c r="AH3" s="30" t="s">
        <v>72</v>
      </c>
      <c r="AI3" s="30" t="s">
        <v>72</v>
      </c>
      <c r="AJ3" s="28" t="s">
        <v>223</v>
      </c>
      <c r="AK3" s="28" t="s">
        <v>224</v>
      </c>
      <c r="AL3" s="28" t="s">
        <v>226</v>
      </c>
      <c r="AM3" s="28" t="s">
        <v>228</v>
      </c>
      <c r="AN3" s="28" t="s">
        <v>229</v>
      </c>
      <c r="AO3" s="28" t="s">
        <v>231</v>
      </c>
      <c r="AP3" s="28" t="s">
        <v>232</v>
      </c>
      <c r="AQ3" s="31">
        <v>46204.0</v>
      </c>
      <c r="AR3" s="32" t="s">
        <v>237</v>
      </c>
      <c r="AS3" s="28" t="s">
        <v>240</v>
      </c>
      <c r="AT3" s="28" t="s">
        <v>242</v>
      </c>
      <c r="AU3" s="28" t="s">
        <v>244</v>
      </c>
    </row>
    <row r="4" ht="13.5" hidden="1" customHeight="1">
      <c r="A4" s="12">
        <v>1.0</v>
      </c>
      <c r="B4" s="12"/>
      <c r="C4" s="13" t="s">
        <v>247</v>
      </c>
      <c r="D4" s="13"/>
      <c r="E4" s="12" t="s">
        <v>88</v>
      </c>
      <c r="F4" s="12">
        <v>5.0</v>
      </c>
      <c r="G4" s="12">
        <v>8500.0</v>
      </c>
      <c r="H4" s="12">
        <v>50.0</v>
      </c>
      <c r="I4" s="12" t="s">
        <v>145</v>
      </c>
      <c r="J4" s="13"/>
      <c r="K4" s="13" t="s">
        <v>248</v>
      </c>
      <c r="L4" s="13" t="s">
        <v>249</v>
      </c>
      <c r="M4" s="12" t="s">
        <v>95</v>
      </c>
      <c r="N4" s="25" t="s">
        <v>97</v>
      </c>
      <c r="O4" s="25" t="s">
        <v>100</v>
      </c>
      <c r="P4" s="33">
        <v>11.11</v>
      </c>
      <c r="Q4" s="33">
        <v>77.34</v>
      </c>
      <c r="R4" s="33">
        <v>1989.0</v>
      </c>
      <c r="S4" s="25" t="s">
        <v>254</v>
      </c>
      <c r="T4" s="33">
        <v>25000.0</v>
      </c>
      <c r="U4" s="14" t="s">
        <v>105</v>
      </c>
      <c r="V4" s="14" t="s">
        <v>105</v>
      </c>
      <c r="W4" s="14" t="s">
        <v>105</v>
      </c>
      <c r="X4" s="14" t="s">
        <v>105</v>
      </c>
      <c r="Y4" s="14" t="s">
        <v>105</v>
      </c>
      <c r="Z4" s="33">
        <v>2.2</v>
      </c>
      <c r="AA4" s="14" t="s">
        <v>105</v>
      </c>
      <c r="AB4" s="14" t="s">
        <v>105</v>
      </c>
      <c r="AC4" s="14" t="s">
        <v>105</v>
      </c>
      <c r="AD4" s="14" t="s">
        <v>105</v>
      </c>
      <c r="AE4" s="34" t="s">
        <v>257</v>
      </c>
      <c r="AF4" s="14" t="s">
        <v>105</v>
      </c>
      <c r="AG4" s="14" t="s">
        <v>105</v>
      </c>
      <c r="AH4" s="34" t="s">
        <v>88</v>
      </c>
      <c r="AI4" s="34" t="s">
        <v>72</v>
      </c>
      <c r="AJ4" s="25" t="s">
        <v>263</v>
      </c>
      <c r="AK4" s="14" t="s">
        <v>105</v>
      </c>
      <c r="AL4" s="25" t="s">
        <v>264</v>
      </c>
      <c r="AM4" s="25" t="s">
        <v>265</v>
      </c>
      <c r="AN4" s="25" t="s">
        <v>139</v>
      </c>
      <c r="AO4" s="36" t="s">
        <v>266</v>
      </c>
      <c r="AP4" s="25" t="s">
        <v>284</v>
      </c>
      <c r="AQ4" s="37">
        <v>46276.0</v>
      </c>
      <c r="AR4" s="24" t="s">
        <v>190</v>
      </c>
      <c r="AS4" s="25" t="s">
        <v>193</v>
      </c>
      <c r="AT4" s="25" t="s">
        <v>287</v>
      </c>
      <c r="AU4" s="25" t="s">
        <v>288</v>
      </c>
    </row>
    <row r="5" ht="21.0" hidden="1" customHeight="1">
      <c r="A5" s="12">
        <v>1.0</v>
      </c>
      <c r="B5" s="12"/>
      <c r="C5" s="13" t="s">
        <v>290</v>
      </c>
      <c r="D5" s="13"/>
      <c r="E5" s="12" t="s">
        <v>88</v>
      </c>
      <c r="F5" s="12">
        <v>6.0</v>
      </c>
      <c r="G5" s="12">
        <v>7750.0</v>
      </c>
      <c r="H5" s="12">
        <v>83.3</v>
      </c>
      <c r="I5" s="12" t="s">
        <v>128</v>
      </c>
      <c r="J5" s="13"/>
      <c r="K5" s="13" t="s">
        <v>93</v>
      </c>
      <c r="L5" s="13" t="s">
        <v>296</v>
      </c>
      <c r="M5" s="12" t="s">
        <v>95</v>
      </c>
      <c r="N5" s="25" t="s">
        <v>297</v>
      </c>
      <c r="O5" s="25" t="s">
        <v>298</v>
      </c>
      <c r="P5" s="33">
        <v>13.0285</v>
      </c>
      <c r="Q5" s="33">
        <v>77.6186</v>
      </c>
      <c r="R5" s="33">
        <v>1993.0</v>
      </c>
      <c r="S5" s="25" t="s">
        <v>299</v>
      </c>
      <c r="T5" s="33">
        <v>15000.0</v>
      </c>
      <c r="U5" s="14" t="s">
        <v>105</v>
      </c>
      <c r="V5" s="14" t="s">
        <v>105</v>
      </c>
      <c r="W5" s="14" t="s">
        <v>105</v>
      </c>
      <c r="X5" s="14" t="s">
        <v>105</v>
      </c>
      <c r="Y5" s="14" t="s">
        <v>105</v>
      </c>
      <c r="Z5" s="14" t="s">
        <v>105</v>
      </c>
      <c r="AA5" s="14" t="s">
        <v>105</v>
      </c>
      <c r="AB5" s="14" t="s">
        <v>105</v>
      </c>
      <c r="AC5" s="14" t="s">
        <v>105</v>
      </c>
      <c r="AD5" s="14" t="s">
        <v>105</v>
      </c>
      <c r="AE5" s="34" t="s">
        <v>106</v>
      </c>
      <c r="AF5" s="14" t="s">
        <v>105</v>
      </c>
      <c r="AG5" s="14" t="s">
        <v>105</v>
      </c>
      <c r="AH5" s="34" t="s">
        <v>88</v>
      </c>
      <c r="AI5" s="34" t="s">
        <v>88</v>
      </c>
      <c r="AJ5" s="25" t="s">
        <v>301</v>
      </c>
      <c r="AK5" s="14" t="s">
        <v>105</v>
      </c>
      <c r="AL5" s="25" t="s">
        <v>302</v>
      </c>
      <c r="AM5" s="25" t="s">
        <v>303</v>
      </c>
      <c r="AN5" s="25" t="s">
        <v>305</v>
      </c>
      <c r="AO5" s="36" t="s">
        <v>306</v>
      </c>
      <c r="AP5" s="25" t="s">
        <v>232</v>
      </c>
      <c r="AQ5" s="37">
        <v>46276.0</v>
      </c>
      <c r="AR5" s="24" t="s">
        <v>190</v>
      </c>
      <c r="AS5" s="25" t="s">
        <v>193</v>
      </c>
      <c r="AT5" s="25" t="s">
        <v>321</v>
      </c>
      <c r="AU5" s="25" t="s">
        <v>322</v>
      </c>
    </row>
    <row r="6" ht="24.75" hidden="1" customHeight="1">
      <c r="A6" s="40">
        <v>2.0</v>
      </c>
      <c r="B6" s="40"/>
      <c r="C6" s="41" t="s">
        <v>325</v>
      </c>
      <c r="D6" s="42"/>
      <c r="E6" s="40" t="s">
        <v>88</v>
      </c>
      <c r="F6" s="40">
        <v>1.0</v>
      </c>
      <c r="G6" s="40">
        <v>1500.0</v>
      </c>
      <c r="H6" s="40"/>
      <c r="I6" s="40" t="s">
        <v>128</v>
      </c>
      <c r="J6" s="42"/>
      <c r="K6" s="42" t="s">
        <v>94</v>
      </c>
      <c r="L6" s="42"/>
      <c r="M6" s="40" t="s">
        <v>72</v>
      </c>
      <c r="N6" s="43" t="s">
        <v>206</v>
      </c>
      <c r="O6" s="43" t="s">
        <v>209</v>
      </c>
      <c r="P6" s="44">
        <v>23.0225</v>
      </c>
      <c r="Q6" s="44">
        <v>72.5714</v>
      </c>
      <c r="R6" s="44">
        <v>1931.0</v>
      </c>
      <c r="S6" s="43" t="s">
        <v>332</v>
      </c>
      <c r="T6" s="45" t="s">
        <v>105</v>
      </c>
      <c r="U6" s="45" t="s">
        <v>105</v>
      </c>
      <c r="V6" s="45" t="s">
        <v>105</v>
      </c>
      <c r="W6" s="45" t="s">
        <v>105</v>
      </c>
      <c r="X6" s="45" t="s">
        <v>105</v>
      </c>
      <c r="Y6" s="45" t="s">
        <v>105</v>
      </c>
      <c r="Z6" s="45" t="s">
        <v>105</v>
      </c>
      <c r="AA6" s="45" t="s">
        <v>105</v>
      </c>
      <c r="AB6" s="45" t="s">
        <v>105</v>
      </c>
      <c r="AC6" s="45" t="s">
        <v>105</v>
      </c>
      <c r="AD6" s="45" t="s">
        <v>105</v>
      </c>
      <c r="AE6" s="45" t="s">
        <v>105</v>
      </c>
      <c r="AF6" s="45" t="s">
        <v>105</v>
      </c>
      <c r="AG6" s="45" t="s">
        <v>105</v>
      </c>
      <c r="AH6" s="46" t="s">
        <v>72</v>
      </c>
      <c r="AI6" s="46" t="s">
        <v>72</v>
      </c>
      <c r="AJ6" s="45" t="s">
        <v>105</v>
      </c>
      <c r="AK6" s="45" t="s">
        <v>105</v>
      </c>
      <c r="AL6" s="45" t="s">
        <v>105</v>
      </c>
      <c r="AM6" s="45" t="s">
        <v>105</v>
      </c>
      <c r="AN6" s="45" t="s">
        <v>105</v>
      </c>
      <c r="AO6" s="47" t="s">
        <v>339</v>
      </c>
      <c r="AP6" s="43" t="s">
        <v>232</v>
      </c>
      <c r="AQ6" s="48">
        <v>46268.0</v>
      </c>
      <c r="AR6" s="49" t="s">
        <v>355</v>
      </c>
      <c r="AS6" s="43" t="s">
        <v>193</v>
      </c>
      <c r="AT6" s="43" t="s">
        <v>356</v>
      </c>
      <c r="AU6" s="43" t="s">
        <v>197</v>
      </c>
    </row>
    <row r="7" ht="14.25" hidden="1" customHeight="1">
      <c r="A7" s="40">
        <v>1.0</v>
      </c>
      <c r="B7" s="40"/>
      <c r="C7" s="41" t="s">
        <v>360</v>
      </c>
      <c r="D7" s="42"/>
      <c r="E7" s="40" t="s">
        <v>88</v>
      </c>
      <c r="F7" s="40">
        <v>1.0</v>
      </c>
      <c r="G7" s="40">
        <v>4500.0</v>
      </c>
      <c r="H7" s="40"/>
      <c r="I7" s="40" t="s">
        <v>128</v>
      </c>
      <c r="J7" s="42"/>
      <c r="K7" s="42" t="s">
        <v>94</v>
      </c>
      <c r="L7" s="42"/>
      <c r="M7" s="40" t="s">
        <v>72</v>
      </c>
      <c r="N7" s="43" t="s">
        <v>206</v>
      </c>
      <c r="O7" s="43" t="s">
        <v>209</v>
      </c>
      <c r="P7" s="44">
        <v>23.0225</v>
      </c>
      <c r="Q7" s="44">
        <v>72.5714</v>
      </c>
      <c r="R7" s="44">
        <v>1931.0</v>
      </c>
      <c r="S7" s="43" t="s">
        <v>332</v>
      </c>
      <c r="T7" s="45" t="s">
        <v>105</v>
      </c>
      <c r="U7" s="45" t="s">
        <v>105</v>
      </c>
      <c r="V7" s="45" t="s">
        <v>105</v>
      </c>
      <c r="W7" s="45" t="s">
        <v>105</v>
      </c>
      <c r="X7" s="45" t="s">
        <v>105</v>
      </c>
      <c r="Y7" s="45" t="s">
        <v>105</v>
      </c>
      <c r="Z7" s="45" t="s">
        <v>105</v>
      </c>
      <c r="AA7" s="45" t="s">
        <v>105</v>
      </c>
      <c r="AB7" s="45" t="s">
        <v>105</v>
      </c>
      <c r="AC7" s="45" t="s">
        <v>105</v>
      </c>
      <c r="AD7" s="45" t="s">
        <v>105</v>
      </c>
      <c r="AE7" s="45" t="s">
        <v>105</v>
      </c>
      <c r="AF7" s="45" t="s">
        <v>105</v>
      </c>
      <c r="AG7" s="45" t="s">
        <v>105</v>
      </c>
      <c r="AH7" s="46" t="s">
        <v>72</v>
      </c>
      <c r="AI7" s="46" t="s">
        <v>72</v>
      </c>
      <c r="AJ7" s="45" t="s">
        <v>105</v>
      </c>
      <c r="AK7" s="45" t="s">
        <v>105</v>
      </c>
      <c r="AL7" s="45" t="s">
        <v>105</v>
      </c>
      <c r="AM7" s="45" t="s">
        <v>105</v>
      </c>
      <c r="AN7" s="45" t="s">
        <v>105</v>
      </c>
      <c r="AO7" s="47" t="s">
        <v>339</v>
      </c>
      <c r="AP7" s="43" t="s">
        <v>232</v>
      </c>
      <c r="AQ7" s="48">
        <v>46268.0</v>
      </c>
      <c r="AR7" s="49" t="s">
        <v>355</v>
      </c>
      <c r="AS7" s="43" t="s">
        <v>193</v>
      </c>
      <c r="AT7" s="43" t="s">
        <v>356</v>
      </c>
      <c r="AU7" s="43" t="s">
        <v>197</v>
      </c>
    </row>
    <row r="8" ht="18.75" hidden="1" customHeight="1">
      <c r="A8" s="12">
        <v>1.0</v>
      </c>
      <c r="B8" s="12"/>
      <c r="C8" s="13" t="s">
        <v>374</v>
      </c>
      <c r="D8" s="13" t="s">
        <v>375</v>
      </c>
      <c r="E8" s="12" t="s">
        <v>88</v>
      </c>
      <c r="F8" s="12">
        <v>3.0</v>
      </c>
      <c r="G8" s="12">
        <v>6250.0</v>
      </c>
      <c r="H8" s="12">
        <v>61.6</v>
      </c>
      <c r="I8" s="12" t="s">
        <v>128</v>
      </c>
      <c r="J8" s="13"/>
      <c r="K8" s="13" t="s">
        <v>248</v>
      </c>
      <c r="L8" s="13" t="s">
        <v>250</v>
      </c>
      <c r="M8" s="12" t="s">
        <v>72</v>
      </c>
      <c r="N8" s="25" t="s">
        <v>376</v>
      </c>
      <c r="O8" s="25" t="s">
        <v>377</v>
      </c>
      <c r="P8" s="33">
        <v>20.3951</v>
      </c>
      <c r="Q8" s="33">
        <v>78.1307</v>
      </c>
      <c r="R8" s="33">
        <v>2006.0</v>
      </c>
      <c r="S8" s="25" t="s">
        <v>380</v>
      </c>
      <c r="T8" s="33">
        <v>2395.0</v>
      </c>
      <c r="U8" s="33">
        <v>11.18</v>
      </c>
      <c r="V8" s="33">
        <v>656.77</v>
      </c>
      <c r="W8" s="33">
        <v>667.95</v>
      </c>
      <c r="X8" s="33">
        <v>15.0</v>
      </c>
      <c r="Y8" s="33">
        <v>3.44</v>
      </c>
      <c r="Z8" s="14" t="s">
        <v>105</v>
      </c>
      <c r="AA8" s="50">
        <v>580000.0</v>
      </c>
      <c r="AB8" s="33">
        <v>14404.81</v>
      </c>
      <c r="AC8" s="33">
        <v>194.11</v>
      </c>
      <c r="AD8" s="14" t="s">
        <v>105</v>
      </c>
      <c r="AE8" s="34" t="s">
        <v>106</v>
      </c>
      <c r="AF8" s="34" t="s">
        <v>88</v>
      </c>
      <c r="AG8" s="14" t="s">
        <v>105</v>
      </c>
      <c r="AH8" s="34" t="s">
        <v>72</v>
      </c>
      <c r="AI8" s="34" t="s">
        <v>88</v>
      </c>
      <c r="AJ8" s="25" t="s">
        <v>387</v>
      </c>
      <c r="AK8" s="25" t="s">
        <v>388</v>
      </c>
      <c r="AL8" s="25" t="s">
        <v>389</v>
      </c>
      <c r="AM8" s="25" t="s">
        <v>390</v>
      </c>
      <c r="AN8" s="25" t="s">
        <v>391</v>
      </c>
      <c r="AO8" s="36" t="s">
        <v>392</v>
      </c>
      <c r="AP8" s="25" t="s">
        <v>232</v>
      </c>
      <c r="AQ8" s="37">
        <v>46276.0</v>
      </c>
      <c r="AR8" s="24" t="s">
        <v>190</v>
      </c>
      <c r="AS8" s="25" t="s">
        <v>193</v>
      </c>
      <c r="AT8" s="25" t="s">
        <v>398</v>
      </c>
      <c r="AU8" s="25" t="s">
        <v>400</v>
      </c>
    </row>
    <row r="9" ht="24.75" hidden="1" customHeight="1">
      <c r="A9" s="26">
        <v>1.0</v>
      </c>
      <c r="B9" s="26" t="s">
        <v>402</v>
      </c>
      <c r="C9" s="27" t="s">
        <v>404</v>
      </c>
      <c r="D9" s="27"/>
      <c r="E9" s="26" t="s">
        <v>402</v>
      </c>
      <c r="F9" s="26">
        <v>5.0</v>
      </c>
      <c r="G9" s="26">
        <v>6000.0</v>
      </c>
      <c r="H9" s="26">
        <v>51.0</v>
      </c>
      <c r="I9" s="26" t="s">
        <v>92</v>
      </c>
      <c r="J9" s="27"/>
      <c r="K9" s="27" t="s">
        <v>248</v>
      </c>
      <c r="L9" s="27" t="s">
        <v>405</v>
      </c>
      <c r="M9" s="26" t="s">
        <v>95</v>
      </c>
      <c r="N9" s="28" t="s">
        <v>406</v>
      </c>
      <c r="O9" s="28" t="s">
        <v>407</v>
      </c>
      <c r="P9" s="29">
        <v>28.4089</v>
      </c>
      <c r="Q9" s="29">
        <v>77.3178</v>
      </c>
      <c r="R9" s="29">
        <v>2008.0</v>
      </c>
      <c r="S9" s="28" t="s">
        <v>299</v>
      </c>
      <c r="T9" s="29">
        <v>11464.0</v>
      </c>
      <c r="U9" s="29">
        <v>2138.0</v>
      </c>
      <c r="V9" s="29">
        <v>4799.0</v>
      </c>
      <c r="W9" s="29">
        <v>6937.0</v>
      </c>
      <c r="X9" s="29">
        <v>5.1</v>
      </c>
      <c r="Y9" s="29">
        <v>35.58</v>
      </c>
      <c r="Z9" s="29">
        <v>0.38</v>
      </c>
      <c r="AA9" s="29">
        <v>82038.0</v>
      </c>
      <c r="AB9" s="29">
        <v>483.26</v>
      </c>
      <c r="AC9" s="29">
        <v>194.9690838</v>
      </c>
      <c r="AD9" s="29">
        <v>87.0</v>
      </c>
      <c r="AE9" s="30" t="s">
        <v>105</v>
      </c>
      <c r="AF9" s="30" t="s">
        <v>88</v>
      </c>
      <c r="AG9" s="30" t="s">
        <v>105</v>
      </c>
      <c r="AH9" s="30" t="s">
        <v>72</v>
      </c>
      <c r="AI9" s="30" t="s">
        <v>72</v>
      </c>
      <c r="AJ9" s="28" t="s">
        <v>410</v>
      </c>
      <c r="AK9" s="28" t="s">
        <v>411</v>
      </c>
      <c r="AL9" s="28" t="s">
        <v>412</v>
      </c>
      <c r="AM9" s="28" t="s">
        <v>413</v>
      </c>
      <c r="AN9" s="28" t="s">
        <v>105</v>
      </c>
      <c r="AO9" s="28" t="s">
        <v>414</v>
      </c>
      <c r="AP9" s="28" t="s">
        <v>176</v>
      </c>
      <c r="AQ9" s="31">
        <v>46204.0</v>
      </c>
      <c r="AR9" s="32" t="s">
        <v>237</v>
      </c>
      <c r="AS9" s="28" t="s">
        <v>240</v>
      </c>
      <c r="AT9" s="28" t="s">
        <v>416</v>
      </c>
      <c r="AU9" s="28"/>
    </row>
    <row r="10" ht="23.25" hidden="1" customHeight="1">
      <c r="A10" s="12">
        <v>1.0</v>
      </c>
      <c r="B10" s="12"/>
      <c r="C10" s="13" t="s">
        <v>417</v>
      </c>
      <c r="D10" s="13"/>
      <c r="E10" s="12" t="s">
        <v>88</v>
      </c>
      <c r="F10" s="12">
        <v>5.0</v>
      </c>
      <c r="G10" s="12">
        <v>5500.0</v>
      </c>
      <c r="H10" s="12">
        <v>68.7</v>
      </c>
      <c r="I10" s="12" t="s">
        <v>128</v>
      </c>
      <c r="J10" s="13"/>
      <c r="K10" s="13" t="s">
        <v>248</v>
      </c>
      <c r="L10" s="13" t="s">
        <v>249</v>
      </c>
      <c r="M10" s="12" t="s">
        <v>95</v>
      </c>
      <c r="N10" s="25" t="s">
        <v>297</v>
      </c>
      <c r="O10" s="25" t="s">
        <v>298</v>
      </c>
      <c r="P10" s="33">
        <v>12.8093</v>
      </c>
      <c r="Q10" s="33">
        <v>77.6953</v>
      </c>
      <c r="R10" s="33">
        <v>2001.0</v>
      </c>
      <c r="S10" s="25" t="s">
        <v>299</v>
      </c>
      <c r="T10" s="33">
        <v>5200.0</v>
      </c>
      <c r="U10" s="33">
        <v>808.83</v>
      </c>
      <c r="V10" s="33">
        <v>2665.43</v>
      </c>
      <c r="W10" s="33">
        <v>3474.26</v>
      </c>
      <c r="X10" s="14" t="s">
        <v>105</v>
      </c>
      <c r="Y10" s="14" t="s">
        <v>105</v>
      </c>
      <c r="Z10" s="14" t="s">
        <v>105</v>
      </c>
      <c r="AA10" s="14" t="s">
        <v>105</v>
      </c>
      <c r="AB10" s="14" t="s">
        <v>105</v>
      </c>
      <c r="AC10" s="14" t="s">
        <v>105</v>
      </c>
      <c r="AD10" s="14" t="s">
        <v>105</v>
      </c>
      <c r="AE10" s="34" t="s">
        <v>257</v>
      </c>
      <c r="AF10" s="14" t="s">
        <v>105</v>
      </c>
      <c r="AG10" s="34" t="s">
        <v>420</v>
      </c>
      <c r="AH10" s="34" t="s">
        <v>88</v>
      </c>
      <c r="AI10" s="34" t="s">
        <v>72</v>
      </c>
      <c r="AJ10" s="51" t="s">
        <v>421</v>
      </c>
      <c r="AK10" s="14" t="s">
        <v>105</v>
      </c>
      <c r="AL10" s="25" t="s">
        <v>422</v>
      </c>
      <c r="AM10" s="25" t="s">
        <v>423</v>
      </c>
      <c r="AN10" s="25" t="s">
        <v>305</v>
      </c>
      <c r="AO10" s="36" t="s">
        <v>424</v>
      </c>
      <c r="AP10" s="25" t="s">
        <v>429</v>
      </c>
      <c r="AQ10" s="23">
        <v>46276.0</v>
      </c>
      <c r="AR10" s="24" t="s">
        <v>190</v>
      </c>
      <c r="AS10" s="25" t="s">
        <v>193</v>
      </c>
      <c r="AT10" s="25" t="s">
        <v>430</v>
      </c>
      <c r="AU10" s="25" t="s">
        <v>197</v>
      </c>
    </row>
    <row r="11" ht="23.25" hidden="1" customHeight="1">
      <c r="A11" s="40">
        <v>1.0</v>
      </c>
      <c r="B11" s="40"/>
      <c r="C11" s="41" t="s">
        <v>431</v>
      </c>
      <c r="D11" s="42"/>
      <c r="E11" s="40" t="s">
        <v>88</v>
      </c>
      <c r="F11" s="40">
        <v>3.0</v>
      </c>
      <c r="G11" s="40">
        <v>5250.0</v>
      </c>
      <c r="H11" s="40">
        <v>70.3</v>
      </c>
      <c r="I11" s="40" t="s">
        <v>92</v>
      </c>
      <c r="J11" s="42"/>
      <c r="K11" s="42" t="s">
        <v>93</v>
      </c>
      <c r="L11" s="42" t="s">
        <v>432</v>
      </c>
      <c r="M11" s="40" t="s">
        <v>95</v>
      </c>
      <c r="N11" s="43" t="s">
        <v>206</v>
      </c>
      <c r="O11" s="43" t="s">
        <v>209</v>
      </c>
      <c r="P11" s="44">
        <v>23.0225</v>
      </c>
      <c r="Q11" s="44">
        <v>72.5714</v>
      </c>
      <c r="R11" s="44">
        <v>1931.0</v>
      </c>
      <c r="S11" s="43" t="s">
        <v>332</v>
      </c>
      <c r="T11" s="45" t="s">
        <v>105</v>
      </c>
      <c r="U11" s="45" t="s">
        <v>105</v>
      </c>
      <c r="V11" s="45" t="s">
        <v>105</v>
      </c>
      <c r="W11" s="45" t="s">
        <v>105</v>
      </c>
      <c r="X11" s="45" t="s">
        <v>105</v>
      </c>
      <c r="Y11" s="45" t="s">
        <v>105</v>
      </c>
      <c r="Z11" s="45" t="s">
        <v>105</v>
      </c>
      <c r="AA11" s="45" t="s">
        <v>105</v>
      </c>
      <c r="AB11" s="45" t="s">
        <v>105</v>
      </c>
      <c r="AC11" s="45" t="s">
        <v>105</v>
      </c>
      <c r="AD11" s="45" t="s">
        <v>105</v>
      </c>
      <c r="AE11" s="45" t="s">
        <v>105</v>
      </c>
      <c r="AF11" s="45" t="s">
        <v>105</v>
      </c>
      <c r="AG11" s="45" t="s">
        <v>105</v>
      </c>
      <c r="AH11" s="46" t="s">
        <v>72</v>
      </c>
      <c r="AI11" s="46" t="s">
        <v>72</v>
      </c>
      <c r="AJ11" s="45" t="s">
        <v>105</v>
      </c>
      <c r="AK11" s="45" t="s">
        <v>105</v>
      </c>
      <c r="AL11" s="45" t="s">
        <v>105</v>
      </c>
      <c r="AM11" s="45" t="s">
        <v>105</v>
      </c>
      <c r="AN11" s="45" t="s">
        <v>105</v>
      </c>
      <c r="AO11" s="47" t="s">
        <v>339</v>
      </c>
      <c r="AP11" s="43" t="s">
        <v>232</v>
      </c>
      <c r="AQ11" s="48">
        <v>46268.0</v>
      </c>
      <c r="AR11" s="49" t="s">
        <v>355</v>
      </c>
      <c r="AS11" s="43" t="s">
        <v>193</v>
      </c>
      <c r="AT11" s="43" t="s">
        <v>356</v>
      </c>
      <c r="AU11" s="43" t="s">
        <v>197</v>
      </c>
    </row>
    <row r="12" ht="23.25" hidden="1" customHeight="1">
      <c r="A12" s="12">
        <v>1.0</v>
      </c>
      <c r="B12" s="12"/>
      <c r="C12" s="13" t="s">
        <v>437</v>
      </c>
      <c r="D12" s="13"/>
      <c r="E12" s="12" t="s">
        <v>88</v>
      </c>
      <c r="F12" s="12">
        <v>2.0</v>
      </c>
      <c r="G12" s="12">
        <v>4750.0</v>
      </c>
      <c r="H12" s="12">
        <v>2.8</v>
      </c>
      <c r="I12" s="12" t="s">
        <v>128</v>
      </c>
      <c r="J12" s="13"/>
      <c r="K12" s="13" t="s">
        <v>93</v>
      </c>
      <c r="L12" s="13" t="s">
        <v>438</v>
      </c>
      <c r="M12" s="12" t="s">
        <v>95</v>
      </c>
      <c r="N12" s="25" t="s">
        <v>439</v>
      </c>
      <c r="O12" s="25" t="s">
        <v>440</v>
      </c>
      <c r="P12" s="33">
        <v>28.8231</v>
      </c>
      <c r="Q12" s="33">
        <v>78.6878</v>
      </c>
      <c r="R12" s="33">
        <v>1942.0</v>
      </c>
      <c r="S12" s="25" t="s">
        <v>299</v>
      </c>
      <c r="T12" s="50">
        <v>6404.0</v>
      </c>
      <c r="U12" s="33">
        <v>14942.0</v>
      </c>
      <c r="V12" s="33">
        <v>5694.2</v>
      </c>
      <c r="W12" s="33">
        <v>20636.2</v>
      </c>
      <c r="X12" s="33">
        <v>14.96</v>
      </c>
      <c r="Y12" s="33">
        <v>282.06</v>
      </c>
      <c r="Z12" s="33">
        <v>8.6</v>
      </c>
      <c r="AA12" s="50">
        <v>45239.0</v>
      </c>
      <c r="AB12" s="52">
        <v>12310.79</v>
      </c>
      <c r="AC12" s="33" t="s">
        <v>105</v>
      </c>
      <c r="AD12" s="14" t="s">
        <v>105</v>
      </c>
      <c r="AE12" s="34" t="s">
        <v>442</v>
      </c>
      <c r="AF12" s="34" t="s">
        <v>88</v>
      </c>
      <c r="AG12" s="14" t="s">
        <v>105</v>
      </c>
      <c r="AH12" s="34" t="s">
        <v>72</v>
      </c>
      <c r="AI12" s="34" t="s">
        <v>88</v>
      </c>
      <c r="AJ12" s="25" t="s">
        <v>443</v>
      </c>
      <c r="AK12" s="25" t="s">
        <v>445</v>
      </c>
      <c r="AL12" s="25" t="s">
        <v>302</v>
      </c>
      <c r="AM12" s="25" t="s">
        <v>447</v>
      </c>
      <c r="AN12" s="25" t="s">
        <v>448</v>
      </c>
      <c r="AO12" s="36" t="s">
        <v>449</v>
      </c>
      <c r="AP12" s="25" t="s">
        <v>452</v>
      </c>
      <c r="AQ12" s="23">
        <v>46276.0</v>
      </c>
      <c r="AR12" s="24" t="s">
        <v>190</v>
      </c>
      <c r="AS12" s="25" t="s">
        <v>193</v>
      </c>
      <c r="AT12" s="25" t="s">
        <v>453</v>
      </c>
      <c r="AU12" s="25" t="s">
        <v>197</v>
      </c>
    </row>
    <row r="13" ht="24.75" hidden="1" customHeight="1">
      <c r="A13" s="12">
        <v>1.0</v>
      </c>
      <c r="B13" s="12"/>
      <c r="C13" s="13" t="s">
        <v>454</v>
      </c>
      <c r="D13" s="13"/>
      <c r="E13" s="12" t="s">
        <v>88</v>
      </c>
      <c r="F13" s="12">
        <v>7.0</v>
      </c>
      <c r="G13" s="12">
        <v>4750.0</v>
      </c>
      <c r="H13" s="12">
        <v>30.2</v>
      </c>
      <c r="I13" s="12" t="s">
        <v>128</v>
      </c>
      <c r="J13" s="13" t="s">
        <v>455</v>
      </c>
      <c r="K13" s="13" t="s">
        <v>93</v>
      </c>
      <c r="L13" s="13" t="s">
        <v>456</v>
      </c>
      <c r="M13" s="12" t="s">
        <v>95</v>
      </c>
      <c r="N13" s="25" t="s">
        <v>458</v>
      </c>
      <c r="O13" s="25" t="s">
        <v>459</v>
      </c>
      <c r="P13" s="33">
        <v>28.5355</v>
      </c>
      <c r="Q13" s="33">
        <v>77.391</v>
      </c>
      <c r="R13" s="33">
        <v>2010.0</v>
      </c>
      <c r="S13" s="25" t="s">
        <v>299</v>
      </c>
      <c r="T13" s="33">
        <v>700.0</v>
      </c>
      <c r="U13" s="14" t="s">
        <v>105</v>
      </c>
      <c r="V13" s="14" t="s">
        <v>105</v>
      </c>
      <c r="W13" s="14" t="s">
        <v>105</v>
      </c>
      <c r="X13" s="14" t="s">
        <v>105</v>
      </c>
      <c r="Y13" s="14" t="s">
        <v>105</v>
      </c>
      <c r="Z13" s="14" t="s">
        <v>105</v>
      </c>
      <c r="AA13" s="14" t="s">
        <v>105</v>
      </c>
      <c r="AB13" s="14" t="s">
        <v>105</v>
      </c>
      <c r="AC13" s="14" t="s">
        <v>105</v>
      </c>
      <c r="AD13" s="14" t="s">
        <v>105</v>
      </c>
      <c r="AE13" s="34" t="s">
        <v>106</v>
      </c>
      <c r="AF13" s="14" t="s">
        <v>105</v>
      </c>
      <c r="AG13" s="14" t="s">
        <v>105</v>
      </c>
      <c r="AH13" s="34" t="s">
        <v>88</v>
      </c>
      <c r="AI13" s="34" t="s">
        <v>72</v>
      </c>
      <c r="AJ13" s="14" t="s">
        <v>105</v>
      </c>
      <c r="AK13" s="14" t="s">
        <v>105</v>
      </c>
      <c r="AL13" s="25" t="s">
        <v>461</v>
      </c>
      <c r="AM13" s="25" t="s">
        <v>462</v>
      </c>
      <c r="AN13" s="25" t="s">
        <v>463</v>
      </c>
      <c r="AO13" s="36" t="s">
        <v>464</v>
      </c>
      <c r="AP13" s="25" t="s">
        <v>284</v>
      </c>
      <c r="AQ13" s="23">
        <v>46276.0</v>
      </c>
      <c r="AR13" s="24" t="s">
        <v>190</v>
      </c>
      <c r="AS13" s="25" t="s">
        <v>193</v>
      </c>
      <c r="AT13" s="25" t="s">
        <v>470</v>
      </c>
      <c r="AU13" s="25" t="s">
        <v>471</v>
      </c>
    </row>
    <row r="14" ht="20.25" hidden="1" customHeight="1">
      <c r="A14" s="12">
        <v>1.0</v>
      </c>
      <c r="B14" s="12"/>
      <c r="C14" s="13" t="s">
        <v>472</v>
      </c>
      <c r="D14" s="13"/>
      <c r="E14" s="12" t="s">
        <v>88</v>
      </c>
      <c r="F14" s="12">
        <v>3.0</v>
      </c>
      <c r="G14" s="12">
        <v>3000.0</v>
      </c>
      <c r="H14" s="12">
        <v>18.8</v>
      </c>
      <c r="I14" s="12" t="s">
        <v>128</v>
      </c>
      <c r="J14" s="13"/>
      <c r="K14" s="13" t="s">
        <v>93</v>
      </c>
      <c r="L14" s="13" t="s">
        <v>195</v>
      </c>
      <c r="M14" s="12" t="s">
        <v>95</v>
      </c>
      <c r="N14" s="25" t="s">
        <v>458</v>
      </c>
      <c r="O14" s="25" t="s">
        <v>459</v>
      </c>
      <c r="P14" s="33">
        <v>28.58</v>
      </c>
      <c r="Q14" s="33">
        <v>77.31</v>
      </c>
      <c r="R14" s="33">
        <v>1993.0</v>
      </c>
      <c r="S14" s="25" t="s">
        <v>104</v>
      </c>
      <c r="T14" s="53">
        <v>5000.0</v>
      </c>
      <c r="U14" s="14" t="s">
        <v>105</v>
      </c>
      <c r="V14" s="14" t="s">
        <v>105</v>
      </c>
      <c r="W14" s="14" t="s">
        <v>105</v>
      </c>
      <c r="X14" s="14" t="s">
        <v>105</v>
      </c>
      <c r="Y14" s="14" t="s">
        <v>105</v>
      </c>
      <c r="Z14" s="33">
        <v>1.0</v>
      </c>
      <c r="AA14" s="14" t="s">
        <v>105</v>
      </c>
      <c r="AB14" s="14" t="s">
        <v>105</v>
      </c>
      <c r="AC14" s="14" t="s">
        <v>105</v>
      </c>
      <c r="AD14" s="14" t="s">
        <v>105</v>
      </c>
      <c r="AE14" s="34" t="s">
        <v>106</v>
      </c>
      <c r="AF14" s="17" t="s">
        <v>88</v>
      </c>
      <c r="AG14" s="14" t="s">
        <v>105</v>
      </c>
      <c r="AH14" s="34" t="s">
        <v>88</v>
      </c>
      <c r="AI14" s="34" t="s">
        <v>88</v>
      </c>
      <c r="AJ14" s="14" t="s">
        <v>476</v>
      </c>
      <c r="AK14" s="14" t="s">
        <v>477</v>
      </c>
      <c r="AL14" s="25" t="s">
        <v>478</v>
      </c>
      <c r="AM14" s="25" t="s">
        <v>479</v>
      </c>
      <c r="AN14" s="25" t="s">
        <v>480</v>
      </c>
      <c r="AO14" s="36" t="s">
        <v>481</v>
      </c>
      <c r="AP14" s="25" t="s">
        <v>486</v>
      </c>
      <c r="AQ14" s="23">
        <v>46276.0</v>
      </c>
      <c r="AR14" s="24" t="s">
        <v>190</v>
      </c>
      <c r="AS14" s="25" t="s">
        <v>193</v>
      </c>
      <c r="AT14" s="25" t="s">
        <v>487</v>
      </c>
      <c r="AU14" s="25" t="s">
        <v>197</v>
      </c>
    </row>
    <row r="15" ht="27.0" hidden="1" customHeight="1">
      <c r="A15" s="26">
        <v>1.0</v>
      </c>
      <c r="B15" s="26" t="s">
        <v>489</v>
      </c>
      <c r="C15" s="27" t="s">
        <v>491</v>
      </c>
      <c r="D15" s="27"/>
      <c r="E15" s="26" t="s">
        <v>489</v>
      </c>
      <c r="F15" s="26">
        <v>1.0</v>
      </c>
      <c r="G15" s="26">
        <v>4500.0</v>
      </c>
      <c r="H15" s="26"/>
      <c r="I15" s="26" t="s">
        <v>128</v>
      </c>
      <c r="J15" s="27"/>
      <c r="K15" s="27" t="s">
        <v>94</v>
      </c>
      <c r="L15" s="27"/>
      <c r="M15" s="26" t="s">
        <v>95</v>
      </c>
      <c r="N15" s="28" t="s">
        <v>492</v>
      </c>
      <c r="O15" s="28" t="s">
        <v>493</v>
      </c>
      <c r="P15" s="29">
        <v>30.901</v>
      </c>
      <c r="Q15" s="29">
        <v>75.8573</v>
      </c>
      <c r="R15" s="29">
        <v>1965.0</v>
      </c>
      <c r="S15" s="28" t="s">
        <v>198</v>
      </c>
      <c r="T15" s="29">
        <v>27956.0</v>
      </c>
      <c r="U15" s="29">
        <v>282924.0</v>
      </c>
      <c r="V15" s="29">
        <v>857272.48</v>
      </c>
      <c r="W15" s="29">
        <v>1140196.48</v>
      </c>
      <c r="X15" s="29">
        <v>14.46</v>
      </c>
      <c r="Y15" s="29">
        <v>12928.0</v>
      </c>
      <c r="Z15" s="29">
        <v>19.2</v>
      </c>
      <c r="AA15" s="29">
        <v>5695455.0</v>
      </c>
      <c r="AB15" s="29">
        <v>21423.87</v>
      </c>
      <c r="AC15" s="29">
        <v>88.19589109</v>
      </c>
      <c r="AD15" s="29">
        <v>60.0</v>
      </c>
      <c r="AE15" s="30" t="s">
        <v>494</v>
      </c>
      <c r="AF15" s="30" t="s">
        <v>88</v>
      </c>
      <c r="AG15" s="30" t="s">
        <v>105</v>
      </c>
      <c r="AH15" s="30" t="s">
        <v>72</v>
      </c>
      <c r="AI15" s="30" t="s">
        <v>72</v>
      </c>
      <c r="AJ15" s="28" t="s">
        <v>495</v>
      </c>
      <c r="AK15" s="28" t="s">
        <v>337</v>
      </c>
      <c r="AL15" s="28" t="s">
        <v>496</v>
      </c>
      <c r="AM15" s="28" t="s">
        <v>497</v>
      </c>
      <c r="AN15" s="28" t="s">
        <v>499</v>
      </c>
      <c r="AO15" s="28" t="s">
        <v>414</v>
      </c>
      <c r="AP15" s="28" t="s">
        <v>176</v>
      </c>
      <c r="AQ15" s="31">
        <v>46204.0</v>
      </c>
      <c r="AR15" s="32" t="s">
        <v>237</v>
      </c>
      <c r="AS15" s="28" t="s">
        <v>240</v>
      </c>
      <c r="AT15" s="28" t="s">
        <v>416</v>
      </c>
      <c r="AU15" s="28"/>
    </row>
    <row r="16" ht="18.75" hidden="1" customHeight="1">
      <c r="A16" s="12">
        <v>1.0</v>
      </c>
      <c r="B16" s="12"/>
      <c r="C16" s="13" t="s">
        <v>501</v>
      </c>
      <c r="D16" s="13" t="s">
        <v>502</v>
      </c>
      <c r="E16" s="12" t="s">
        <v>88</v>
      </c>
      <c r="F16" s="12">
        <v>4.0</v>
      </c>
      <c r="G16" s="12">
        <v>4000.0</v>
      </c>
      <c r="H16" s="12">
        <v>67.9</v>
      </c>
      <c r="I16" s="12" t="s">
        <v>92</v>
      </c>
      <c r="J16" s="13" t="s">
        <v>455</v>
      </c>
      <c r="K16" s="13" t="s">
        <v>248</v>
      </c>
      <c r="L16" s="13" t="s">
        <v>96</v>
      </c>
      <c r="M16" s="12" t="s">
        <v>95</v>
      </c>
      <c r="N16" s="25" t="s">
        <v>503</v>
      </c>
      <c r="O16" s="25" t="s">
        <v>504</v>
      </c>
      <c r="P16" s="33">
        <v>11.02885</v>
      </c>
      <c r="Q16" s="33">
        <v>77.3302</v>
      </c>
      <c r="R16" s="33">
        <v>1989.0</v>
      </c>
      <c r="S16" s="25" t="s">
        <v>299</v>
      </c>
      <c r="T16" s="33">
        <v>250.0</v>
      </c>
      <c r="U16" s="14" t="s">
        <v>105</v>
      </c>
      <c r="V16" s="14" t="s">
        <v>105</v>
      </c>
      <c r="W16" s="14" t="s">
        <v>105</v>
      </c>
      <c r="X16" s="14" t="s">
        <v>105</v>
      </c>
      <c r="Y16" s="14" t="s">
        <v>105</v>
      </c>
      <c r="Z16" s="14" t="s">
        <v>105</v>
      </c>
      <c r="AA16" s="14" t="s">
        <v>105</v>
      </c>
      <c r="AB16" s="14" t="s">
        <v>105</v>
      </c>
      <c r="AC16" s="14" t="s">
        <v>105</v>
      </c>
      <c r="AD16" s="14" t="s">
        <v>105</v>
      </c>
      <c r="AE16" s="34" t="s">
        <v>506</v>
      </c>
      <c r="AF16" s="14" t="s">
        <v>105</v>
      </c>
      <c r="AG16" s="14" t="s">
        <v>105</v>
      </c>
      <c r="AH16" s="34" t="s">
        <v>88</v>
      </c>
      <c r="AI16" s="34" t="s">
        <v>72</v>
      </c>
      <c r="AJ16" s="14" t="s">
        <v>105</v>
      </c>
      <c r="AK16" s="14" t="s">
        <v>105</v>
      </c>
      <c r="AL16" s="25" t="s">
        <v>508</v>
      </c>
      <c r="AM16" s="25" t="s">
        <v>509</v>
      </c>
      <c r="AN16" s="25" t="s">
        <v>139</v>
      </c>
      <c r="AO16" s="36" t="s">
        <v>510</v>
      </c>
      <c r="AP16" s="25" t="s">
        <v>232</v>
      </c>
      <c r="AQ16" s="23">
        <v>46276.0</v>
      </c>
      <c r="AR16" s="24" t="s">
        <v>190</v>
      </c>
      <c r="AS16" s="25" t="s">
        <v>193</v>
      </c>
      <c r="AT16" s="25" t="s">
        <v>517</v>
      </c>
      <c r="AU16" s="25" t="s">
        <v>518</v>
      </c>
    </row>
    <row r="17" ht="20.25" hidden="1" customHeight="1">
      <c r="A17" s="12">
        <v>1.0</v>
      </c>
      <c r="B17" s="12"/>
      <c r="C17" s="13" t="s">
        <v>519</v>
      </c>
      <c r="D17" s="13"/>
      <c r="E17" s="12" t="s">
        <v>88</v>
      </c>
      <c r="F17" s="12">
        <v>2.0</v>
      </c>
      <c r="G17" s="12">
        <v>3750.0</v>
      </c>
      <c r="H17" s="12">
        <v>71.4</v>
      </c>
      <c r="I17" s="12" t="s">
        <v>145</v>
      </c>
      <c r="J17" s="13"/>
      <c r="K17" s="13" t="s">
        <v>248</v>
      </c>
      <c r="L17" s="13" t="s">
        <v>96</v>
      </c>
      <c r="M17" s="12" t="s">
        <v>95</v>
      </c>
      <c r="N17" s="25" t="s">
        <v>520</v>
      </c>
      <c r="O17" s="25" t="s">
        <v>504</v>
      </c>
      <c r="P17" s="33">
        <v>10.037</v>
      </c>
      <c r="Q17" s="33">
        <v>76.408</v>
      </c>
      <c r="R17" s="33">
        <v>1992.0</v>
      </c>
      <c r="S17" s="25" t="s">
        <v>521</v>
      </c>
      <c r="T17" s="33" t="s">
        <v>105</v>
      </c>
      <c r="U17" s="54" t="s">
        <v>105</v>
      </c>
      <c r="V17" s="33" t="s">
        <v>105</v>
      </c>
      <c r="W17" s="50" t="s">
        <v>105</v>
      </c>
      <c r="X17" s="14" t="s">
        <v>105</v>
      </c>
      <c r="Y17" s="33">
        <v>290.55</v>
      </c>
      <c r="Z17" s="14" t="s">
        <v>105</v>
      </c>
      <c r="AA17" s="33">
        <v>93360.0</v>
      </c>
      <c r="AB17" s="33">
        <v>762.96</v>
      </c>
      <c r="AC17" s="33" t="s">
        <v>105</v>
      </c>
      <c r="AD17" s="14" t="s">
        <v>105</v>
      </c>
      <c r="AE17" s="34" t="s">
        <v>106</v>
      </c>
      <c r="AF17" s="14" t="s">
        <v>105</v>
      </c>
      <c r="AG17" s="14" t="s">
        <v>105</v>
      </c>
      <c r="AH17" s="34" t="s">
        <v>88</v>
      </c>
      <c r="AI17" s="34" t="s">
        <v>72</v>
      </c>
      <c r="AJ17" s="25" t="s">
        <v>524</v>
      </c>
      <c r="AK17" s="14" t="s">
        <v>105</v>
      </c>
      <c r="AL17" s="25" t="s">
        <v>525</v>
      </c>
      <c r="AM17" s="25" t="s">
        <v>526</v>
      </c>
      <c r="AN17" s="25" t="s">
        <v>527</v>
      </c>
      <c r="AO17" s="36" t="s">
        <v>528</v>
      </c>
      <c r="AP17" s="25" t="s">
        <v>232</v>
      </c>
      <c r="AQ17" s="23">
        <v>46277.0</v>
      </c>
      <c r="AR17" s="24" t="s">
        <v>190</v>
      </c>
      <c r="AS17" s="25" t="s">
        <v>193</v>
      </c>
      <c r="AT17" s="25" t="s">
        <v>537</v>
      </c>
      <c r="AU17" s="25" t="s">
        <v>538</v>
      </c>
    </row>
    <row r="18" ht="23.25" hidden="1" customHeight="1">
      <c r="A18" s="40">
        <v>1.0</v>
      </c>
      <c r="B18" s="40"/>
      <c r="C18" s="41" t="s">
        <v>539</v>
      </c>
      <c r="D18" s="42"/>
      <c r="E18" s="40" t="s">
        <v>88</v>
      </c>
      <c r="F18" s="40">
        <v>5.0</v>
      </c>
      <c r="G18" s="40">
        <v>3250.0</v>
      </c>
      <c r="H18" s="40">
        <v>80.4</v>
      </c>
      <c r="I18" s="40" t="s">
        <v>128</v>
      </c>
      <c r="J18" s="42"/>
      <c r="K18" s="42" t="s">
        <v>93</v>
      </c>
      <c r="L18" s="42" t="s">
        <v>540</v>
      </c>
      <c r="M18" s="40" t="s">
        <v>95</v>
      </c>
      <c r="N18" s="43" t="s">
        <v>376</v>
      </c>
      <c r="O18" s="43" t="s">
        <v>377</v>
      </c>
      <c r="P18" s="44">
        <v>19.08</v>
      </c>
      <c r="Q18" s="44">
        <v>72.84</v>
      </c>
      <c r="R18" s="44">
        <v>1987.0</v>
      </c>
      <c r="S18" s="43" t="s">
        <v>541</v>
      </c>
      <c r="T18" s="44">
        <v>200.0</v>
      </c>
      <c r="U18" s="45" t="s">
        <v>105</v>
      </c>
      <c r="V18" s="45" t="s">
        <v>105</v>
      </c>
      <c r="W18" s="45" t="s">
        <v>105</v>
      </c>
      <c r="X18" s="45" t="s">
        <v>105</v>
      </c>
      <c r="Y18" s="45" t="s">
        <v>105</v>
      </c>
      <c r="Z18" s="45" t="s">
        <v>105</v>
      </c>
      <c r="AA18" s="45" t="s">
        <v>105</v>
      </c>
      <c r="AB18" s="45" t="s">
        <v>105</v>
      </c>
      <c r="AC18" s="45" t="s">
        <v>105</v>
      </c>
      <c r="AD18" s="45" t="s">
        <v>105</v>
      </c>
      <c r="AE18" s="45" t="s">
        <v>105</v>
      </c>
      <c r="AF18" s="45" t="s">
        <v>105</v>
      </c>
      <c r="AG18" s="45" t="s">
        <v>105</v>
      </c>
      <c r="AH18" s="46" t="s">
        <v>88</v>
      </c>
      <c r="AI18" s="46" t="s">
        <v>88</v>
      </c>
      <c r="AJ18" s="45" t="s">
        <v>105</v>
      </c>
      <c r="AK18" s="43" t="s">
        <v>544</v>
      </c>
      <c r="AL18" s="43" t="s">
        <v>545</v>
      </c>
      <c r="AM18" s="43" t="s">
        <v>546</v>
      </c>
      <c r="AN18" s="43" t="s">
        <v>547</v>
      </c>
      <c r="AO18" s="47" t="s">
        <v>548</v>
      </c>
      <c r="AP18" s="43" t="s">
        <v>284</v>
      </c>
      <c r="AQ18" s="55">
        <v>46266.0</v>
      </c>
      <c r="AR18" s="49" t="s">
        <v>553</v>
      </c>
      <c r="AS18" s="43" t="s">
        <v>193</v>
      </c>
      <c r="AT18" s="43" t="s">
        <v>554</v>
      </c>
      <c r="AU18" s="43" t="s">
        <v>555</v>
      </c>
    </row>
    <row r="19" ht="24.75" hidden="1" customHeight="1">
      <c r="A19" s="12">
        <v>1.0</v>
      </c>
      <c r="B19" s="12"/>
      <c r="C19" s="13" t="s">
        <v>556</v>
      </c>
      <c r="D19" s="13"/>
      <c r="E19" s="12" t="s">
        <v>88</v>
      </c>
      <c r="F19" s="12">
        <v>3.0</v>
      </c>
      <c r="G19" s="12">
        <v>3250.0</v>
      </c>
      <c r="H19" s="12">
        <v>64.6</v>
      </c>
      <c r="I19" s="12" t="s">
        <v>128</v>
      </c>
      <c r="J19" s="13"/>
      <c r="K19" s="13" t="s">
        <v>248</v>
      </c>
      <c r="L19" s="13" t="s">
        <v>557</v>
      </c>
      <c r="M19" s="12" t="s">
        <v>95</v>
      </c>
      <c r="N19" s="25" t="s">
        <v>97</v>
      </c>
      <c r="O19" s="25" t="s">
        <v>100</v>
      </c>
      <c r="P19" s="33">
        <v>11.1085</v>
      </c>
      <c r="Q19" s="33">
        <v>77.3411</v>
      </c>
      <c r="R19" s="33">
        <v>2011.0</v>
      </c>
      <c r="S19" s="25" t="s">
        <v>560</v>
      </c>
      <c r="T19" s="33">
        <v>2000.0</v>
      </c>
      <c r="U19" s="14" t="s">
        <v>105</v>
      </c>
      <c r="V19" s="14" t="s">
        <v>105</v>
      </c>
      <c r="W19" s="14" t="s">
        <v>105</v>
      </c>
      <c r="X19" s="14" t="s">
        <v>105</v>
      </c>
      <c r="Y19" s="14" t="s">
        <v>105</v>
      </c>
      <c r="Z19" s="14" t="s">
        <v>105</v>
      </c>
      <c r="AA19" s="14" t="s">
        <v>105</v>
      </c>
      <c r="AB19" s="14" t="s">
        <v>105</v>
      </c>
      <c r="AC19" s="14" t="s">
        <v>105</v>
      </c>
      <c r="AD19" s="14" t="s">
        <v>105</v>
      </c>
      <c r="AE19" s="14" t="s">
        <v>105</v>
      </c>
      <c r="AF19" s="14" t="s">
        <v>105</v>
      </c>
      <c r="AG19" s="14" t="s">
        <v>105</v>
      </c>
      <c r="AH19" s="34" t="s">
        <v>88</v>
      </c>
      <c r="AI19" s="34" t="s">
        <v>88</v>
      </c>
      <c r="AJ19" s="14" t="s">
        <v>105</v>
      </c>
      <c r="AK19" s="14" t="s">
        <v>105</v>
      </c>
      <c r="AL19" s="25" t="s">
        <v>562</v>
      </c>
      <c r="AM19" s="25" t="s">
        <v>563</v>
      </c>
      <c r="AN19" s="25" t="s">
        <v>78</v>
      </c>
      <c r="AO19" s="36" t="s">
        <v>564</v>
      </c>
      <c r="AP19" s="25" t="s">
        <v>284</v>
      </c>
      <c r="AQ19" s="23">
        <v>46276.0</v>
      </c>
      <c r="AR19" s="24" t="s">
        <v>190</v>
      </c>
      <c r="AS19" s="25" t="s">
        <v>193</v>
      </c>
      <c r="AT19" s="25" t="s">
        <v>569</v>
      </c>
      <c r="AU19" s="25" t="s">
        <v>570</v>
      </c>
    </row>
    <row r="20" ht="18.0" hidden="1" customHeight="1">
      <c r="A20" s="12">
        <v>1.0</v>
      </c>
      <c r="B20" s="12"/>
      <c r="C20" s="13" t="s">
        <v>571</v>
      </c>
      <c r="D20" s="13"/>
      <c r="E20" s="12" t="s">
        <v>88</v>
      </c>
      <c r="F20" s="12">
        <v>3.0</v>
      </c>
      <c r="G20" s="12">
        <v>3250.0</v>
      </c>
      <c r="H20" s="12">
        <v>74.2</v>
      </c>
      <c r="I20" s="12" t="s">
        <v>92</v>
      </c>
      <c r="J20" s="13"/>
      <c r="K20" s="13" t="s">
        <v>534</v>
      </c>
      <c r="L20" s="13" t="s">
        <v>573</v>
      </c>
      <c r="M20" s="12" t="s">
        <v>72</v>
      </c>
      <c r="N20" s="25" t="s">
        <v>575</v>
      </c>
      <c r="O20" s="25" t="s">
        <v>100</v>
      </c>
      <c r="P20" s="33">
        <v>13.0827</v>
      </c>
      <c r="Q20" s="33">
        <v>80.2707</v>
      </c>
      <c r="R20" s="33">
        <v>1985.0</v>
      </c>
      <c r="S20" s="25" t="s">
        <v>104</v>
      </c>
      <c r="T20" s="33">
        <v>1512.0</v>
      </c>
      <c r="U20" s="14" t="s">
        <v>105</v>
      </c>
      <c r="V20" s="14" t="s">
        <v>105</v>
      </c>
      <c r="W20" s="14" t="s">
        <v>105</v>
      </c>
      <c r="X20" s="14" t="s">
        <v>105</v>
      </c>
      <c r="Y20" s="14" t="s">
        <v>105</v>
      </c>
      <c r="Z20" s="14" t="s">
        <v>105</v>
      </c>
      <c r="AA20" s="14" t="s">
        <v>105</v>
      </c>
      <c r="AB20" s="14" t="s">
        <v>105</v>
      </c>
      <c r="AC20" s="14" t="s">
        <v>105</v>
      </c>
      <c r="AD20" s="14" t="s">
        <v>105</v>
      </c>
      <c r="AE20" s="14" t="s">
        <v>576</v>
      </c>
      <c r="AF20" s="14" t="s">
        <v>105</v>
      </c>
      <c r="AG20" s="14" t="s">
        <v>105</v>
      </c>
      <c r="AH20" s="34" t="s">
        <v>88</v>
      </c>
      <c r="AI20" s="34" t="s">
        <v>88</v>
      </c>
      <c r="AJ20" s="25" t="s">
        <v>579</v>
      </c>
      <c r="AK20" s="25" t="s">
        <v>580</v>
      </c>
      <c r="AL20" s="25" t="s">
        <v>581</v>
      </c>
      <c r="AM20" s="25" t="s">
        <v>582</v>
      </c>
      <c r="AN20" s="25" t="s">
        <v>583</v>
      </c>
      <c r="AO20" s="36" t="s">
        <v>584</v>
      </c>
      <c r="AP20" s="25" t="s">
        <v>284</v>
      </c>
      <c r="AQ20" s="37">
        <v>46276.0</v>
      </c>
      <c r="AR20" s="24" t="s">
        <v>190</v>
      </c>
      <c r="AS20" s="25" t="s">
        <v>193</v>
      </c>
      <c r="AT20" s="25" t="s">
        <v>589</v>
      </c>
      <c r="AU20" s="25" t="s">
        <v>197</v>
      </c>
    </row>
    <row r="21" ht="30.0" hidden="1" customHeight="1">
      <c r="A21" s="12">
        <v>1.0</v>
      </c>
      <c r="B21" s="12"/>
      <c r="C21" s="13" t="s">
        <v>591</v>
      </c>
      <c r="D21" s="13"/>
      <c r="E21" s="12" t="s">
        <v>88</v>
      </c>
      <c r="F21" s="12">
        <v>2.0</v>
      </c>
      <c r="G21" s="12">
        <v>3250.0</v>
      </c>
      <c r="H21" s="12">
        <v>66.4</v>
      </c>
      <c r="I21" s="12" t="s">
        <v>91</v>
      </c>
      <c r="J21" s="13"/>
      <c r="K21" s="13" t="s">
        <v>248</v>
      </c>
      <c r="L21" s="13" t="s">
        <v>593</v>
      </c>
      <c r="M21" s="12" t="s">
        <v>95</v>
      </c>
      <c r="N21" s="25" t="s">
        <v>594</v>
      </c>
      <c r="O21" s="25" t="s">
        <v>100</v>
      </c>
      <c r="P21" s="33">
        <v>10.9601</v>
      </c>
      <c r="Q21" s="33">
        <v>78.0816</v>
      </c>
      <c r="R21" s="33">
        <v>1978.0</v>
      </c>
      <c r="S21" s="25" t="s">
        <v>299</v>
      </c>
      <c r="T21" s="33">
        <v>5000.0</v>
      </c>
      <c r="U21" s="14" t="s">
        <v>105</v>
      </c>
      <c r="V21" s="14" t="s">
        <v>105</v>
      </c>
      <c r="W21" s="14" t="s">
        <v>105</v>
      </c>
      <c r="X21" s="14" t="s">
        <v>105</v>
      </c>
      <c r="Y21" s="14" t="s">
        <v>105</v>
      </c>
      <c r="Z21" s="14" t="s">
        <v>105</v>
      </c>
      <c r="AA21" s="14" t="s">
        <v>105</v>
      </c>
      <c r="AB21" s="14" t="s">
        <v>105</v>
      </c>
      <c r="AC21" s="14" t="s">
        <v>105</v>
      </c>
      <c r="AD21" s="14" t="s">
        <v>105</v>
      </c>
      <c r="AE21" s="34" t="s">
        <v>506</v>
      </c>
      <c r="AF21" s="14" t="s">
        <v>105</v>
      </c>
      <c r="AG21" s="14" t="s">
        <v>105</v>
      </c>
      <c r="AH21" s="34" t="s">
        <v>88</v>
      </c>
      <c r="AI21" s="34" t="s">
        <v>88</v>
      </c>
      <c r="AJ21" s="25" t="s">
        <v>598</v>
      </c>
      <c r="AK21" s="14" t="s">
        <v>105</v>
      </c>
      <c r="AL21" s="25" t="s">
        <v>599</v>
      </c>
      <c r="AM21" s="25" t="s">
        <v>600</v>
      </c>
      <c r="AN21" s="25" t="s">
        <v>601</v>
      </c>
      <c r="AO21" s="36" t="s">
        <v>602</v>
      </c>
      <c r="AP21" s="25" t="s">
        <v>176</v>
      </c>
      <c r="AQ21" s="37">
        <v>46276.0</v>
      </c>
      <c r="AR21" s="24" t="s">
        <v>190</v>
      </c>
      <c r="AS21" s="25" t="s">
        <v>193</v>
      </c>
      <c r="AT21" s="25" t="s">
        <v>607</v>
      </c>
      <c r="AU21" s="25" t="s">
        <v>609</v>
      </c>
    </row>
    <row r="22" ht="18.75" hidden="1" customHeight="1">
      <c r="A22" s="40">
        <v>1.0</v>
      </c>
      <c r="B22" s="40"/>
      <c r="C22" s="41" t="s">
        <v>610</v>
      </c>
      <c r="D22" s="42"/>
      <c r="E22" s="40" t="s">
        <v>88</v>
      </c>
      <c r="F22" s="40">
        <v>1.0</v>
      </c>
      <c r="G22" s="40">
        <v>3000.0</v>
      </c>
      <c r="H22" s="40">
        <v>64.0</v>
      </c>
      <c r="I22" s="40" t="s">
        <v>128</v>
      </c>
      <c r="J22" s="42"/>
      <c r="K22" s="42" t="s">
        <v>93</v>
      </c>
      <c r="L22" s="42" t="s">
        <v>250</v>
      </c>
      <c r="M22" s="40" t="s">
        <v>95</v>
      </c>
      <c r="N22" s="43" t="s">
        <v>611</v>
      </c>
      <c r="O22" s="43" t="s">
        <v>612</v>
      </c>
      <c r="P22" s="44">
        <v>31.3</v>
      </c>
      <c r="Q22" s="44">
        <v>120.6</v>
      </c>
      <c r="R22" s="44">
        <v>1992.0</v>
      </c>
      <c r="S22" s="43" t="s">
        <v>613</v>
      </c>
      <c r="T22" s="56" t="s">
        <v>105</v>
      </c>
      <c r="U22" s="44" t="s">
        <v>105</v>
      </c>
      <c r="V22" s="44" t="s">
        <v>105</v>
      </c>
      <c r="W22" s="57" t="s">
        <v>105</v>
      </c>
      <c r="X22" s="58" t="s">
        <v>105</v>
      </c>
      <c r="Y22" s="45" t="s">
        <v>105</v>
      </c>
      <c r="Z22" s="44" t="s">
        <v>105</v>
      </c>
      <c r="AA22" s="44" t="s">
        <v>105</v>
      </c>
      <c r="AB22" s="44" t="s">
        <v>105</v>
      </c>
      <c r="AC22" s="45" t="s">
        <v>105</v>
      </c>
      <c r="AD22" s="45" t="s">
        <v>105</v>
      </c>
      <c r="AE22" s="46" t="s">
        <v>105</v>
      </c>
      <c r="AF22" s="46" t="s">
        <v>88</v>
      </c>
      <c r="AG22" s="45" t="s">
        <v>105</v>
      </c>
      <c r="AH22" s="46" t="s">
        <v>72</v>
      </c>
      <c r="AI22" s="46" t="s">
        <v>88</v>
      </c>
      <c r="AJ22" s="43" t="s">
        <v>618</v>
      </c>
      <c r="AK22" s="43" t="s">
        <v>619</v>
      </c>
      <c r="AL22" s="43" t="s">
        <v>620</v>
      </c>
      <c r="AM22" s="43" t="s">
        <v>621</v>
      </c>
      <c r="AN22" s="43" t="s">
        <v>622</v>
      </c>
      <c r="AO22" s="47" t="s">
        <v>623</v>
      </c>
      <c r="AP22" s="43" t="s">
        <v>630</v>
      </c>
      <c r="AQ22" s="48">
        <v>46268.0</v>
      </c>
      <c r="AR22" s="49" t="s">
        <v>553</v>
      </c>
      <c r="AS22" s="43" t="s">
        <v>193</v>
      </c>
      <c r="AT22" s="43" t="s">
        <v>633</v>
      </c>
      <c r="AU22" s="43" t="s">
        <v>197</v>
      </c>
    </row>
    <row r="23" ht="44.25" hidden="1" customHeight="1">
      <c r="A23" s="40">
        <v>2.0</v>
      </c>
      <c r="B23" s="40"/>
      <c r="C23" s="41" t="s">
        <v>634</v>
      </c>
      <c r="D23" s="42"/>
      <c r="E23" s="40" t="s">
        <v>88</v>
      </c>
      <c r="F23" s="40">
        <v>1.0</v>
      </c>
      <c r="G23" s="40">
        <v>250.0</v>
      </c>
      <c r="H23" s="40"/>
      <c r="I23" s="40" t="s">
        <v>92</v>
      </c>
      <c r="J23" s="42"/>
      <c r="K23" s="42" t="s">
        <v>248</v>
      </c>
      <c r="L23" s="42" t="s">
        <v>118</v>
      </c>
      <c r="M23" s="40" t="s">
        <v>95</v>
      </c>
      <c r="N23" s="59" t="s">
        <v>458</v>
      </c>
      <c r="O23" s="59" t="s">
        <v>637</v>
      </c>
      <c r="P23" s="44">
        <v>28.58</v>
      </c>
      <c r="Q23" s="44">
        <v>77.31</v>
      </c>
      <c r="R23" s="60">
        <v>1993.0</v>
      </c>
      <c r="S23" s="45" t="s">
        <v>104</v>
      </c>
      <c r="T23" s="61" t="s">
        <v>105</v>
      </c>
      <c r="U23" s="45" t="s">
        <v>105</v>
      </c>
      <c r="V23" s="45" t="s">
        <v>105</v>
      </c>
      <c r="W23" s="45" t="s">
        <v>105</v>
      </c>
      <c r="X23" s="45" t="s">
        <v>105</v>
      </c>
      <c r="Y23" s="45" t="s">
        <v>105</v>
      </c>
      <c r="Z23" s="45" t="s">
        <v>105</v>
      </c>
      <c r="AA23" s="45" t="s">
        <v>105</v>
      </c>
      <c r="AB23" s="45" t="s">
        <v>105</v>
      </c>
      <c r="AC23" s="45" t="s">
        <v>105</v>
      </c>
      <c r="AD23" s="45" t="s">
        <v>105</v>
      </c>
      <c r="AE23" s="45" t="s">
        <v>105</v>
      </c>
      <c r="AF23" s="62" t="s">
        <v>88</v>
      </c>
      <c r="AG23" s="45" t="s">
        <v>105</v>
      </c>
      <c r="AH23" s="63" t="s">
        <v>72</v>
      </c>
      <c r="AI23" s="64" t="s">
        <v>72</v>
      </c>
      <c r="AJ23" s="45" t="s">
        <v>105</v>
      </c>
      <c r="AK23" s="45" t="s">
        <v>105</v>
      </c>
      <c r="AL23" s="43" t="s">
        <v>478</v>
      </c>
      <c r="AM23" s="43" t="s">
        <v>479</v>
      </c>
      <c r="AN23" s="43" t="s">
        <v>480</v>
      </c>
      <c r="AO23" s="47" t="s">
        <v>481</v>
      </c>
      <c r="AP23" s="43" t="s">
        <v>486</v>
      </c>
      <c r="AQ23" s="55">
        <v>46266.0</v>
      </c>
      <c r="AR23" s="49" t="s">
        <v>355</v>
      </c>
      <c r="AS23" s="43" t="s">
        <v>193</v>
      </c>
      <c r="AT23" s="43" t="s">
        <v>642</v>
      </c>
      <c r="AU23" s="59" t="s">
        <v>197</v>
      </c>
    </row>
    <row r="24" ht="21.0" hidden="1" customHeight="1">
      <c r="A24" s="12">
        <v>1.0</v>
      </c>
      <c r="B24" s="12"/>
      <c r="C24" s="13" t="s">
        <v>643</v>
      </c>
      <c r="D24" s="13"/>
      <c r="E24" s="12" t="s">
        <v>88</v>
      </c>
      <c r="F24" s="12">
        <v>1.0</v>
      </c>
      <c r="G24" s="12">
        <v>3000.0</v>
      </c>
      <c r="H24" s="12">
        <v>94.5</v>
      </c>
      <c r="I24" s="12" t="s">
        <v>91</v>
      </c>
      <c r="J24" s="13"/>
      <c r="K24" s="13" t="s">
        <v>156</v>
      </c>
      <c r="L24" s="13" t="s">
        <v>373</v>
      </c>
      <c r="M24" s="12" t="s">
        <v>95</v>
      </c>
      <c r="N24" s="25" t="s">
        <v>644</v>
      </c>
      <c r="O24" s="25" t="s">
        <v>645</v>
      </c>
      <c r="P24" s="33">
        <v>17.6868</v>
      </c>
      <c r="Q24" s="33">
        <v>83.2185</v>
      </c>
      <c r="R24" s="33">
        <v>1972.0</v>
      </c>
      <c r="S24" s="25" t="s">
        <v>646</v>
      </c>
      <c r="T24" s="50" t="s">
        <v>105</v>
      </c>
      <c r="U24" s="33">
        <v>319.0</v>
      </c>
      <c r="V24" s="50">
        <v>14678.0</v>
      </c>
      <c r="W24" s="50" t="s">
        <v>105</v>
      </c>
      <c r="X24" s="33" t="s">
        <v>105</v>
      </c>
      <c r="Y24" s="33" t="s">
        <v>105</v>
      </c>
      <c r="Z24" s="33" t="s">
        <v>105</v>
      </c>
      <c r="AA24" s="50" t="s">
        <v>105</v>
      </c>
      <c r="AB24" s="33" t="s">
        <v>105</v>
      </c>
      <c r="AC24" s="33" t="s">
        <v>105</v>
      </c>
      <c r="AD24" s="14" t="s">
        <v>105</v>
      </c>
      <c r="AE24" s="34" t="s">
        <v>506</v>
      </c>
      <c r="AF24" s="14" t="s">
        <v>105</v>
      </c>
      <c r="AG24" s="14" t="s">
        <v>105</v>
      </c>
      <c r="AH24" s="34" t="s">
        <v>72</v>
      </c>
      <c r="AI24" s="34" t="s">
        <v>88</v>
      </c>
      <c r="AJ24" s="25" t="s">
        <v>650</v>
      </c>
      <c r="AK24" s="25" t="s">
        <v>651</v>
      </c>
      <c r="AL24" s="25" t="s">
        <v>652</v>
      </c>
      <c r="AM24" s="25" t="s">
        <v>653</v>
      </c>
      <c r="AN24" s="25" t="s">
        <v>654</v>
      </c>
      <c r="AO24" s="36" t="s">
        <v>655</v>
      </c>
      <c r="AP24" s="25" t="s">
        <v>232</v>
      </c>
      <c r="AQ24" s="37">
        <v>46277.0</v>
      </c>
      <c r="AR24" s="24" t="s">
        <v>190</v>
      </c>
      <c r="AS24" s="25" t="s">
        <v>193</v>
      </c>
      <c r="AT24" s="25" t="s">
        <v>658</v>
      </c>
      <c r="AU24" s="25" t="s">
        <v>659</v>
      </c>
    </row>
    <row r="25" ht="22.5" customHeight="1">
      <c r="A25" s="40">
        <v>1.0</v>
      </c>
      <c r="B25" s="40"/>
      <c r="C25" s="41" t="s">
        <v>661</v>
      </c>
      <c r="D25" s="42"/>
      <c r="E25" s="40" t="s">
        <v>88</v>
      </c>
      <c r="F25" s="40">
        <v>1.0</v>
      </c>
      <c r="G25" s="40">
        <v>3000.0</v>
      </c>
      <c r="H25" s="40">
        <v>86.3</v>
      </c>
      <c r="I25" s="40" t="s">
        <v>91</v>
      </c>
      <c r="J25" s="42"/>
      <c r="K25" s="42" t="s">
        <v>156</v>
      </c>
      <c r="L25" s="42" t="s">
        <v>663</v>
      </c>
      <c r="M25" s="40" t="s">
        <v>95</v>
      </c>
      <c r="N25" s="43" t="s">
        <v>575</v>
      </c>
      <c r="O25" s="43" t="s">
        <v>100</v>
      </c>
      <c r="P25" s="44">
        <v>13.0827</v>
      </c>
      <c r="Q25" s="44">
        <v>80.2707</v>
      </c>
      <c r="R25" s="44">
        <v>1998.0</v>
      </c>
      <c r="S25" s="43" t="s">
        <v>664</v>
      </c>
      <c r="T25" s="44">
        <v>2500.0</v>
      </c>
      <c r="U25" s="45" t="s">
        <v>105</v>
      </c>
      <c r="V25" s="45" t="s">
        <v>105</v>
      </c>
      <c r="W25" s="45" t="s">
        <v>105</v>
      </c>
      <c r="X25" s="45" t="s">
        <v>105</v>
      </c>
      <c r="Y25" s="45" t="s">
        <v>105</v>
      </c>
      <c r="Z25" s="45" t="s">
        <v>105</v>
      </c>
      <c r="AA25" s="45" t="s">
        <v>105</v>
      </c>
      <c r="AB25" s="45" t="s">
        <v>105</v>
      </c>
      <c r="AC25" s="45" t="s">
        <v>105</v>
      </c>
      <c r="AD25" s="45" t="s">
        <v>105</v>
      </c>
      <c r="AE25" s="45" t="s">
        <v>105</v>
      </c>
      <c r="AF25" s="45" t="s">
        <v>105</v>
      </c>
      <c r="AG25" s="45" t="s">
        <v>105</v>
      </c>
      <c r="AH25" s="46" t="s">
        <v>88</v>
      </c>
      <c r="AI25" s="46" t="s">
        <v>88</v>
      </c>
      <c r="AJ25" s="45" t="s">
        <v>105</v>
      </c>
      <c r="AK25" s="45" t="s">
        <v>105</v>
      </c>
      <c r="AL25" s="45" t="s">
        <v>105</v>
      </c>
      <c r="AM25" s="45" t="s">
        <v>105</v>
      </c>
      <c r="AN25" s="45" t="s">
        <v>105</v>
      </c>
      <c r="AO25" s="65" t="s">
        <v>665</v>
      </c>
      <c r="AP25" s="43" t="s">
        <v>284</v>
      </c>
      <c r="AQ25" s="48">
        <v>46246.0</v>
      </c>
      <c r="AR25" s="49" t="s">
        <v>553</v>
      </c>
      <c r="AS25" s="43" t="s">
        <v>193</v>
      </c>
      <c r="AT25" s="43" t="s">
        <v>672</v>
      </c>
      <c r="AU25" s="43" t="s">
        <v>673</v>
      </c>
    </row>
    <row r="26" ht="18.75" hidden="1" customHeight="1">
      <c r="A26" s="12">
        <v>1.0</v>
      </c>
      <c r="B26" s="12"/>
      <c r="C26" s="13" t="s">
        <v>674</v>
      </c>
      <c r="D26" s="13"/>
      <c r="E26" s="12" t="s">
        <v>88</v>
      </c>
      <c r="F26" s="12">
        <v>1.0</v>
      </c>
      <c r="G26" s="12">
        <v>3000.0</v>
      </c>
      <c r="H26" s="12">
        <v>58.3</v>
      </c>
      <c r="I26" s="12" t="s">
        <v>91</v>
      </c>
      <c r="J26" s="13" t="s">
        <v>676</v>
      </c>
      <c r="K26" s="13" t="s">
        <v>156</v>
      </c>
      <c r="L26" s="13" t="s">
        <v>118</v>
      </c>
      <c r="M26" s="12" t="s">
        <v>95</v>
      </c>
      <c r="N26" s="25" t="s">
        <v>678</v>
      </c>
      <c r="O26" s="25" t="s">
        <v>298</v>
      </c>
      <c r="P26" s="33">
        <v>12.9121</v>
      </c>
      <c r="Q26" s="33">
        <v>77.5946</v>
      </c>
      <c r="R26" s="33">
        <v>1990.0</v>
      </c>
      <c r="S26" s="25" t="s">
        <v>679</v>
      </c>
      <c r="T26" s="33">
        <v>1000.0</v>
      </c>
      <c r="U26" s="50">
        <v>19725.0</v>
      </c>
      <c r="V26" s="50">
        <v>32184.0</v>
      </c>
      <c r="W26" s="33">
        <v>51909.0</v>
      </c>
      <c r="X26" s="66">
        <v>57.0</v>
      </c>
      <c r="Y26" s="50">
        <v>1087.0</v>
      </c>
      <c r="Z26" s="33">
        <v>2.63</v>
      </c>
      <c r="AA26" s="50">
        <v>1714465.0</v>
      </c>
      <c r="AB26" s="14" t="s">
        <v>105</v>
      </c>
      <c r="AC26" s="33">
        <v>47.74</v>
      </c>
      <c r="AD26" s="14" t="s">
        <v>105</v>
      </c>
      <c r="AE26" s="34" t="s">
        <v>218</v>
      </c>
      <c r="AF26" s="14" t="s">
        <v>105</v>
      </c>
      <c r="AG26" s="14" t="s">
        <v>105</v>
      </c>
      <c r="AH26" s="34" t="s">
        <v>72</v>
      </c>
      <c r="AI26" s="34" t="s">
        <v>72</v>
      </c>
      <c r="AJ26" s="25" t="s">
        <v>680</v>
      </c>
      <c r="AK26" s="25" t="s">
        <v>681</v>
      </c>
      <c r="AL26" s="14" t="s">
        <v>105</v>
      </c>
      <c r="AM26" s="25" t="s">
        <v>683</v>
      </c>
      <c r="AN26" s="25" t="s">
        <v>684</v>
      </c>
      <c r="AO26" s="36" t="s">
        <v>686</v>
      </c>
      <c r="AP26" s="14" t="s">
        <v>690</v>
      </c>
      <c r="AQ26" s="23">
        <v>46276.0</v>
      </c>
      <c r="AR26" s="24" t="s">
        <v>190</v>
      </c>
      <c r="AS26" s="25" t="s">
        <v>193</v>
      </c>
      <c r="AT26" s="25" t="s">
        <v>692</v>
      </c>
      <c r="AU26" s="25" t="s">
        <v>694</v>
      </c>
    </row>
    <row r="27" ht="25.5" hidden="1" customHeight="1">
      <c r="A27" s="12">
        <v>2.0</v>
      </c>
      <c r="B27" s="12"/>
      <c r="C27" s="13" t="s">
        <v>695</v>
      </c>
      <c r="D27" s="13"/>
      <c r="E27" s="12" t="s">
        <v>88</v>
      </c>
      <c r="F27" s="12">
        <v>1.0</v>
      </c>
      <c r="G27" s="12">
        <v>250.0</v>
      </c>
      <c r="H27" s="12">
        <v>13.5</v>
      </c>
      <c r="I27" s="12" t="s">
        <v>128</v>
      </c>
      <c r="J27" s="13" t="s">
        <v>696</v>
      </c>
      <c r="K27" s="13" t="s">
        <v>156</v>
      </c>
      <c r="L27" s="13" t="s">
        <v>697</v>
      </c>
      <c r="M27" s="12" t="s">
        <v>95</v>
      </c>
      <c r="N27" s="14" t="s">
        <v>698</v>
      </c>
      <c r="O27" s="14" t="s">
        <v>699</v>
      </c>
      <c r="P27" s="15">
        <v>26.9124</v>
      </c>
      <c r="Q27" s="15">
        <v>75.7873</v>
      </c>
      <c r="R27" s="15">
        <v>1988.0</v>
      </c>
      <c r="S27" s="14" t="s">
        <v>104</v>
      </c>
      <c r="T27" s="15">
        <v>108.0</v>
      </c>
      <c r="U27" s="14" t="s">
        <v>105</v>
      </c>
      <c r="V27" s="14" t="s">
        <v>105</v>
      </c>
      <c r="W27" s="14" t="s">
        <v>105</v>
      </c>
      <c r="X27" s="14" t="s">
        <v>105</v>
      </c>
      <c r="Y27" s="14" t="s">
        <v>105</v>
      </c>
      <c r="Z27" s="14" t="s">
        <v>105</v>
      </c>
      <c r="AA27" s="14" t="s">
        <v>105</v>
      </c>
      <c r="AB27" s="14" t="s">
        <v>105</v>
      </c>
      <c r="AC27" s="14" t="s">
        <v>105</v>
      </c>
      <c r="AD27" s="14" t="s">
        <v>105</v>
      </c>
      <c r="AE27" s="17" t="s">
        <v>106</v>
      </c>
      <c r="AF27" s="17" t="s">
        <v>88</v>
      </c>
      <c r="AG27" s="14" t="s">
        <v>105</v>
      </c>
      <c r="AH27" s="17" t="s">
        <v>88</v>
      </c>
      <c r="AI27" s="18" t="s">
        <v>88</v>
      </c>
      <c r="AJ27" s="14" t="s">
        <v>702</v>
      </c>
      <c r="AK27" s="14" t="s">
        <v>703</v>
      </c>
      <c r="AL27" s="14" t="s">
        <v>704</v>
      </c>
      <c r="AM27" s="14" t="s">
        <v>705</v>
      </c>
      <c r="AN27" s="14" t="s">
        <v>706</v>
      </c>
      <c r="AO27" s="22" t="s">
        <v>707</v>
      </c>
      <c r="AP27" s="14" t="s">
        <v>232</v>
      </c>
      <c r="AQ27" s="23">
        <v>46277.0</v>
      </c>
      <c r="AR27" s="24" t="s">
        <v>190</v>
      </c>
      <c r="AS27" s="25" t="s">
        <v>193</v>
      </c>
      <c r="AT27" s="25" t="s">
        <v>712</v>
      </c>
      <c r="AU27" s="25" t="s">
        <v>714</v>
      </c>
    </row>
    <row r="28" ht="23.25" hidden="1" customHeight="1">
      <c r="A28" s="12">
        <v>1.0</v>
      </c>
      <c r="B28" s="12"/>
      <c r="C28" s="13" t="s">
        <v>717</v>
      </c>
      <c r="D28" s="13"/>
      <c r="E28" s="12" t="s">
        <v>88</v>
      </c>
      <c r="F28" s="12">
        <v>2.0</v>
      </c>
      <c r="G28" s="12">
        <v>2250.0</v>
      </c>
      <c r="H28" s="12"/>
      <c r="I28" s="12" t="s">
        <v>145</v>
      </c>
      <c r="J28" s="13"/>
      <c r="K28" s="13" t="s">
        <v>93</v>
      </c>
      <c r="L28" s="13" t="s">
        <v>593</v>
      </c>
      <c r="M28" s="12" t="s">
        <v>95</v>
      </c>
      <c r="N28" s="25" t="s">
        <v>458</v>
      </c>
      <c r="O28" s="25" t="s">
        <v>459</v>
      </c>
      <c r="P28" s="33">
        <v>28.5355</v>
      </c>
      <c r="Q28" s="33">
        <v>77.391</v>
      </c>
      <c r="R28" s="33">
        <v>2019.0</v>
      </c>
      <c r="S28" s="25" t="s">
        <v>299</v>
      </c>
      <c r="T28" s="33">
        <v>3500.0</v>
      </c>
      <c r="U28" s="14" t="s">
        <v>105</v>
      </c>
      <c r="V28" s="14" t="s">
        <v>105</v>
      </c>
      <c r="W28" s="14" t="s">
        <v>105</v>
      </c>
      <c r="X28" s="14" t="s">
        <v>105</v>
      </c>
      <c r="Y28" s="14" t="s">
        <v>105</v>
      </c>
      <c r="Z28" s="14" t="s">
        <v>105</v>
      </c>
      <c r="AA28" s="14" t="s">
        <v>105</v>
      </c>
      <c r="AB28" s="14" t="s">
        <v>105</v>
      </c>
      <c r="AC28" s="14" t="s">
        <v>105</v>
      </c>
      <c r="AD28" s="14" t="s">
        <v>105</v>
      </c>
      <c r="AE28" s="14" t="s">
        <v>576</v>
      </c>
      <c r="AF28" s="14" t="s">
        <v>105</v>
      </c>
      <c r="AG28" s="14" t="s">
        <v>105</v>
      </c>
      <c r="AH28" s="34" t="s">
        <v>88</v>
      </c>
      <c r="AI28" s="34" t="s">
        <v>88</v>
      </c>
      <c r="AJ28" s="25" t="s">
        <v>720</v>
      </c>
      <c r="AK28" s="25" t="s">
        <v>721</v>
      </c>
      <c r="AL28" s="25" t="s">
        <v>722</v>
      </c>
      <c r="AM28" s="25" t="s">
        <v>723</v>
      </c>
      <c r="AN28" s="25" t="s">
        <v>440</v>
      </c>
      <c r="AO28" s="36" t="s">
        <v>724</v>
      </c>
      <c r="AP28" s="25" t="s">
        <v>284</v>
      </c>
      <c r="AQ28" s="37">
        <v>46276.0</v>
      </c>
      <c r="AR28" s="24" t="s">
        <v>190</v>
      </c>
      <c r="AS28" s="25" t="s">
        <v>193</v>
      </c>
      <c r="AT28" s="25" t="s">
        <v>729</v>
      </c>
      <c r="AU28" s="25" t="s">
        <v>197</v>
      </c>
    </row>
    <row r="29" ht="15.75" hidden="1" customHeight="1">
      <c r="A29" s="12">
        <v>1.0</v>
      </c>
      <c r="B29" s="12"/>
      <c r="C29" s="13" t="s">
        <v>730</v>
      </c>
      <c r="D29" s="13"/>
      <c r="E29" s="12" t="s">
        <v>88</v>
      </c>
      <c r="F29" s="12">
        <v>2.0</v>
      </c>
      <c r="G29" s="12">
        <v>2250.0</v>
      </c>
      <c r="H29" s="12">
        <v>7.6</v>
      </c>
      <c r="I29" s="12" t="s">
        <v>145</v>
      </c>
      <c r="J29" s="13" t="s">
        <v>731</v>
      </c>
      <c r="K29" s="13" t="s">
        <v>156</v>
      </c>
      <c r="L29" s="13" t="s">
        <v>732</v>
      </c>
      <c r="M29" s="12" t="s">
        <v>95</v>
      </c>
      <c r="N29" s="25" t="s">
        <v>733</v>
      </c>
      <c r="O29" s="25" t="s">
        <v>459</v>
      </c>
      <c r="P29" s="33">
        <v>27.1767</v>
      </c>
      <c r="Q29" s="33">
        <v>78.0081</v>
      </c>
      <c r="R29" s="33">
        <v>1995.0</v>
      </c>
      <c r="S29" s="25" t="s">
        <v>679</v>
      </c>
      <c r="T29" s="33">
        <v>600.0</v>
      </c>
      <c r="U29" s="14" t="s">
        <v>105</v>
      </c>
      <c r="V29" s="14" t="s">
        <v>105</v>
      </c>
      <c r="W29" s="14" t="s">
        <v>105</v>
      </c>
      <c r="X29" s="14" t="s">
        <v>105</v>
      </c>
      <c r="Y29" s="14" t="s">
        <v>105</v>
      </c>
      <c r="Z29" s="14" t="s">
        <v>105</v>
      </c>
      <c r="AA29" s="14" t="s">
        <v>105</v>
      </c>
      <c r="AB29" s="14" t="s">
        <v>105</v>
      </c>
      <c r="AC29" s="14" t="s">
        <v>105</v>
      </c>
      <c r="AD29" s="14" t="s">
        <v>105</v>
      </c>
      <c r="AE29" s="34" t="s">
        <v>506</v>
      </c>
      <c r="AF29" s="14" t="s">
        <v>105</v>
      </c>
      <c r="AG29" s="14" t="s">
        <v>105</v>
      </c>
      <c r="AH29" s="34" t="s">
        <v>72</v>
      </c>
      <c r="AI29" s="34" t="s">
        <v>88</v>
      </c>
      <c r="AJ29" s="14" t="s">
        <v>105</v>
      </c>
      <c r="AK29" s="14" t="s">
        <v>105</v>
      </c>
      <c r="AL29" s="25" t="s">
        <v>737</v>
      </c>
      <c r="AM29" s="25" t="s">
        <v>738</v>
      </c>
      <c r="AN29" s="25" t="s">
        <v>739</v>
      </c>
      <c r="AO29" s="36" t="s">
        <v>602</v>
      </c>
      <c r="AP29" s="25" t="s">
        <v>690</v>
      </c>
      <c r="AQ29" s="37">
        <v>46276.0</v>
      </c>
      <c r="AR29" s="24" t="s">
        <v>190</v>
      </c>
      <c r="AS29" s="25" t="s">
        <v>193</v>
      </c>
      <c r="AT29" s="25" t="s">
        <v>743</v>
      </c>
      <c r="AU29" s="25" t="s">
        <v>197</v>
      </c>
    </row>
    <row r="30" ht="29.25" hidden="1" customHeight="1">
      <c r="A30" s="12">
        <v>1.0</v>
      </c>
      <c r="B30" s="12"/>
      <c r="C30" s="13" t="s">
        <v>744</v>
      </c>
      <c r="D30" s="13" t="s">
        <v>745</v>
      </c>
      <c r="E30" s="12" t="s">
        <v>88</v>
      </c>
      <c r="F30" s="12">
        <v>4.0</v>
      </c>
      <c r="G30" s="12">
        <v>2000.0</v>
      </c>
      <c r="H30" s="12">
        <v>45.8</v>
      </c>
      <c r="I30" s="12" t="s">
        <v>128</v>
      </c>
      <c r="J30" s="13" t="s">
        <v>455</v>
      </c>
      <c r="K30" s="13" t="s">
        <v>248</v>
      </c>
      <c r="L30" s="13" t="s">
        <v>557</v>
      </c>
      <c r="M30" s="12" t="s">
        <v>95</v>
      </c>
      <c r="N30" s="25" t="s">
        <v>97</v>
      </c>
      <c r="O30" s="25" t="s">
        <v>100</v>
      </c>
      <c r="P30" s="33">
        <v>11.1085</v>
      </c>
      <c r="Q30" s="33">
        <v>77.3411</v>
      </c>
      <c r="R30" s="33">
        <v>1999.0</v>
      </c>
      <c r="S30" s="25" t="s">
        <v>299</v>
      </c>
      <c r="T30" s="33">
        <v>5000.0</v>
      </c>
      <c r="U30" s="14" t="s">
        <v>105</v>
      </c>
      <c r="V30" s="14" t="s">
        <v>105</v>
      </c>
      <c r="W30" s="14" t="s">
        <v>105</v>
      </c>
      <c r="X30" s="14" t="s">
        <v>105</v>
      </c>
      <c r="Y30" s="14" t="s">
        <v>105</v>
      </c>
      <c r="Z30" s="14" t="s">
        <v>105</v>
      </c>
      <c r="AA30" s="14" t="s">
        <v>105</v>
      </c>
      <c r="AB30" s="14" t="s">
        <v>105</v>
      </c>
      <c r="AC30" s="14" t="s">
        <v>105</v>
      </c>
      <c r="AD30" s="14" t="s">
        <v>105</v>
      </c>
      <c r="AE30" s="14" t="s">
        <v>105</v>
      </c>
      <c r="AF30" s="14" t="s">
        <v>105</v>
      </c>
      <c r="AG30" s="14" t="s">
        <v>105</v>
      </c>
      <c r="AH30" s="34" t="s">
        <v>88</v>
      </c>
      <c r="AI30" s="34" t="s">
        <v>88</v>
      </c>
      <c r="AJ30" s="25" t="s">
        <v>748</v>
      </c>
      <c r="AK30" s="25" t="s">
        <v>749</v>
      </c>
      <c r="AL30" s="25" t="s">
        <v>750</v>
      </c>
      <c r="AM30" s="25" t="s">
        <v>751</v>
      </c>
      <c r="AN30" s="25" t="s">
        <v>139</v>
      </c>
      <c r="AO30" s="36" t="s">
        <v>753</v>
      </c>
      <c r="AP30" s="25" t="s">
        <v>284</v>
      </c>
      <c r="AQ30" s="37">
        <v>46276.0</v>
      </c>
      <c r="AR30" s="24" t="s">
        <v>190</v>
      </c>
      <c r="AS30" s="25" t="s">
        <v>193</v>
      </c>
      <c r="AT30" s="25" t="s">
        <v>757</v>
      </c>
      <c r="AU30" s="25" t="s">
        <v>759</v>
      </c>
    </row>
    <row r="31" ht="21.75" hidden="1" customHeight="1">
      <c r="A31" s="12">
        <v>1.0</v>
      </c>
      <c r="B31" s="12"/>
      <c r="C31" s="13" t="s">
        <v>761</v>
      </c>
      <c r="D31" s="13"/>
      <c r="E31" s="12" t="s">
        <v>88</v>
      </c>
      <c r="F31" s="12">
        <v>3.0</v>
      </c>
      <c r="G31" s="12">
        <v>2000.0</v>
      </c>
      <c r="H31" s="12">
        <v>81.3</v>
      </c>
      <c r="I31" s="12" t="s">
        <v>91</v>
      </c>
      <c r="J31" s="13"/>
      <c r="K31" s="13" t="s">
        <v>248</v>
      </c>
      <c r="L31" s="13" t="s">
        <v>593</v>
      </c>
      <c r="M31" s="12" t="s">
        <v>95</v>
      </c>
      <c r="N31" s="25" t="s">
        <v>594</v>
      </c>
      <c r="O31" s="25" t="s">
        <v>100</v>
      </c>
      <c r="P31" s="33">
        <v>10.9601</v>
      </c>
      <c r="Q31" s="33">
        <v>78.0816</v>
      </c>
      <c r="R31" s="33">
        <v>1974.0</v>
      </c>
      <c r="S31" s="25" t="s">
        <v>104</v>
      </c>
      <c r="T31" s="33">
        <v>4000.0</v>
      </c>
      <c r="U31" s="14" t="s">
        <v>105</v>
      </c>
      <c r="V31" s="14" t="s">
        <v>105</v>
      </c>
      <c r="W31" s="14" t="s">
        <v>105</v>
      </c>
      <c r="X31" s="14" t="s">
        <v>105</v>
      </c>
      <c r="Y31" s="14" t="s">
        <v>105</v>
      </c>
      <c r="Z31" s="33">
        <v>68.0</v>
      </c>
      <c r="AA31" s="14" t="s">
        <v>105</v>
      </c>
      <c r="AB31" s="14" t="s">
        <v>105</v>
      </c>
      <c r="AC31" s="14" t="s">
        <v>105</v>
      </c>
      <c r="AD31" s="14" t="s">
        <v>105</v>
      </c>
      <c r="AE31" s="34" t="s">
        <v>576</v>
      </c>
      <c r="AF31" s="14" t="s">
        <v>105</v>
      </c>
      <c r="AG31" s="14" t="s">
        <v>105</v>
      </c>
      <c r="AH31" s="34" t="s">
        <v>88</v>
      </c>
      <c r="AI31" s="34" t="s">
        <v>88</v>
      </c>
      <c r="AJ31" s="25" t="s">
        <v>763</v>
      </c>
      <c r="AK31" s="25" t="s">
        <v>764</v>
      </c>
      <c r="AL31" s="25" t="s">
        <v>765</v>
      </c>
      <c r="AM31" s="25" t="s">
        <v>766</v>
      </c>
      <c r="AN31" s="25" t="s">
        <v>601</v>
      </c>
      <c r="AO31" s="36" t="s">
        <v>768</v>
      </c>
      <c r="AP31" s="25" t="s">
        <v>284</v>
      </c>
      <c r="AQ31" s="37">
        <v>46276.0</v>
      </c>
      <c r="AR31" s="24" t="s">
        <v>190</v>
      </c>
      <c r="AS31" s="25" t="s">
        <v>193</v>
      </c>
      <c r="AT31" s="25" t="s">
        <v>770</v>
      </c>
      <c r="AU31" s="25" t="s">
        <v>771</v>
      </c>
    </row>
    <row r="32" ht="26.25" hidden="1" customHeight="1">
      <c r="A32" s="12">
        <v>2.0</v>
      </c>
      <c r="B32" s="12"/>
      <c r="C32" s="13" t="s">
        <v>772</v>
      </c>
      <c r="D32" s="13"/>
      <c r="E32" s="12" t="s">
        <v>88</v>
      </c>
      <c r="F32" s="12">
        <v>5.0</v>
      </c>
      <c r="G32" s="12">
        <v>1750.0</v>
      </c>
      <c r="H32" s="12">
        <v>17.4</v>
      </c>
      <c r="I32" s="12" t="s">
        <v>128</v>
      </c>
      <c r="J32" s="13"/>
      <c r="K32" s="13" t="s">
        <v>248</v>
      </c>
      <c r="L32" s="13" t="s">
        <v>773</v>
      </c>
      <c r="M32" s="12" t="s">
        <v>95</v>
      </c>
      <c r="N32" s="25" t="s">
        <v>774</v>
      </c>
      <c r="O32" s="25" t="s">
        <v>407</v>
      </c>
      <c r="P32" s="33">
        <v>29.3909</v>
      </c>
      <c r="Q32" s="33">
        <v>76.9635</v>
      </c>
      <c r="R32" s="33">
        <v>1939.0</v>
      </c>
      <c r="S32" s="25" t="s">
        <v>775</v>
      </c>
      <c r="T32" s="33" t="s">
        <v>105</v>
      </c>
      <c r="U32" s="33" t="s">
        <v>105</v>
      </c>
      <c r="V32" s="33" t="s">
        <v>105</v>
      </c>
      <c r="W32" s="33" t="s">
        <v>105</v>
      </c>
      <c r="X32" s="67" t="s">
        <v>105</v>
      </c>
      <c r="Y32" s="14" t="s">
        <v>105</v>
      </c>
      <c r="Z32" s="14" t="s">
        <v>105</v>
      </c>
      <c r="AA32" s="14" t="s">
        <v>105</v>
      </c>
      <c r="AB32" s="14" t="s">
        <v>105</v>
      </c>
      <c r="AC32" s="14" t="s">
        <v>105</v>
      </c>
      <c r="AD32" s="14" t="s">
        <v>105</v>
      </c>
      <c r="AE32" s="34" t="s">
        <v>576</v>
      </c>
      <c r="AF32" s="14" t="s">
        <v>105</v>
      </c>
      <c r="AG32" s="14" t="s">
        <v>105</v>
      </c>
      <c r="AH32" s="34" t="s">
        <v>72</v>
      </c>
      <c r="AI32" s="34" t="s">
        <v>72</v>
      </c>
      <c r="AJ32" s="25" t="s">
        <v>776</v>
      </c>
      <c r="AK32" s="25" t="s">
        <v>777</v>
      </c>
      <c r="AL32" s="25" t="s">
        <v>302</v>
      </c>
      <c r="AM32" s="25" t="s">
        <v>778</v>
      </c>
      <c r="AN32" s="25" t="s">
        <v>779</v>
      </c>
      <c r="AO32" s="36" t="s">
        <v>780</v>
      </c>
      <c r="AP32" s="25" t="s">
        <v>284</v>
      </c>
      <c r="AQ32" s="23">
        <v>46277.0</v>
      </c>
      <c r="AR32" s="24" t="s">
        <v>190</v>
      </c>
      <c r="AS32" s="25" t="s">
        <v>193</v>
      </c>
      <c r="AT32" s="25" t="s">
        <v>786</v>
      </c>
      <c r="AU32" s="25" t="s">
        <v>787</v>
      </c>
    </row>
    <row r="33" ht="29.25" hidden="1" customHeight="1">
      <c r="A33" s="12">
        <v>2.0</v>
      </c>
      <c r="B33" s="12"/>
      <c r="C33" s="13" t="s">
        <v>788</v>
      </c>
      <c r="D33" s="13"/>
      <c r="E33" s="12" t="s">
        <v>88</v>
      </c>
      <c r="F33" s="12">
        <v>1.0</v>
      </c>
      <c r="G33" s="12">
        <v>250.0</v>
      </c>
      <c r="H33" s="12">
        <v>34.0</v>
      </c>
      <c r="I33" s="12" t="s">
        <v>92</v>
      </c>
      <c r="J33" s="13"/>
      <c r="K33" s="13" t="s">
        <v>156</v>
      </c>
      <c r="L33" s="13" t="s">
        <v>697</v>
      </c>
      <c r="M33" s="12" t="s">
        <v>95</v>
      </c>
      <c r="N33" s="14" t="s">
        <v>698</v>
      </c>
      <c r="O33" s="14" t="s">
        <v>699</v>
      </c>
      <c r="P33" s="15">
        <v>26.9124</v>
      </c>
      <c r="Q33" s="15">
        <v>75.7873</v>
      </c>
      <c r="R33" s="15">
        <v>2012.0</v>
      </c>
      <c r="S33" s="14" t="s">
        <v>789</v>
      </c>
      <c r="T33" s="15">
        <v>348.0</v>
      </c>
      <c r="U33" s="14" t="s">
        <v>105</v>
      </c>
      <c r="V33" s="14" t="s">
        <v>105</v>
      </c>
      <c r="W33" s="14" t="s">
        <v>105</v>
      </c>
      <c r="X33" s="14" t="s">
        <v>105</v>
      </c>
      <c r="Y33" s="14" t="s">
        <v>105</v>
      </c>
      <c r="Z33" s="14" t="s">
        <v>105</v>
      </c>
      <c r="AA33" s="14" t="s">
        <v>105</v>
      </c>
      <c r="AB33" s="14" t="s">
        <v>105</v>
      </c>
      <c r="AC33" s="14" t="s">
        <v>105</v>
      </c>
      <c r="AD33" s="14" t="s">
        <v>105</v>
      </c>
      <c r="AE33" s="14" t="s">
        <v>105</v>
      </c>
      <c r="AF33" s="14" t="s">
        <v>105</v>
      </c>
      <c r="AG33" s="14" t="s">
        <v>105</v>
      </c>
      <c r="AH33" s="34" t="s">
        <v>88</v>
      </c>
      <c r="AI33" s="34" t="s">
        <v>88</v>
      </c>
      <c r="AJ33" s="14" t="s">
        <v>105</v>
      </c>
      <c r="AK33" s="14" t="s">
        <v>105</v>
      </c>
      <c r="AL33" s="14" t="s">
        <v>792</v>
      </c>
      <c r="AM33" s="14" t="s">
        <v>793</v>
      </c>
      <c r="AN33" s="14" t="s">
        <v>794</v>
      </c>
      <c r="AO33" s="68" t="s">
        <v>795</v>
      </c>
      <c r="AP33" s="25" t="s">
        <v>284</v>
      </c>
      <c r="AQ33" s="37">
        <v>46277.0</v>
      </c>
      <c r="AR33" s="24" t="s">
        <v>190</v>
      </c>
      <c r="AS33" s="25" t="s">
        <v>193</v>
      </c>
      <c r="AT33" s="25" t="s">
        <v>806</v>
      </c>
      <c r="AU33" s="69" t="s">
        <v>807</v>
      </c>
    </row>
    <row r="34" ht="18.0" hidden="1" customHeight="1">
      <c r="A34" s="12">
        <v>2.0</v>
      </c>
      <c r="B34" s="12"/>
      <c r="C34" s="13" t="s">
        <v>810</v>
      </c>
      <c r="D34" s="13" t="s">
        <v>811</v>
      </c>
      <c r="E34" s="12" t="s">
        <v>88</v>
      </c>
      <c r="F34" s="12">
        <v>2.0</v>
      </c>
      <c r="G34" s="12">
        <v>1750.0</v>
      </c>
      <c r="H34" s="12">
        <v>81.2</v>
      </c>
      <c r="I34" s="12" t="s">
        <v>91</v>
      </c>
      <c r="J34" s="13"/>
      <c r="K34" s="13" t="s">
        <v>534</v>
      </c>
      <c r="L34" s="13" t="s">
        <v>812</v>
      </c>
      <c r="M34" s="12" t="s">
        <v>95</v>
      </c>
      <c r="N34" s="25" t="s">
        <v>376</v>
      </c>
      <c r="O34" s="25" t="s">
        <v>377</v>
      </c>
      <c r="P34" s="33">
        <v>19.076</v>
      </c>
      <c r="Q34" s="33">
        <v>72.8777</v>
      </c>
      <c r="R34" s="33">
        <v>1962.0</v>
      </c>
      <c r="S34" s="25" t="s">
        <v>815</v>
      </c>
      <c r="T34" s="33">
        <v>8363.0</v>
      </c>
      <c r="U34" s="14" t="s">
        <v>105</v>
      </c>
      <c r="V34" s="14" t="s">
        <v>105</v>
      </c>
      <c r="W34" s="50">
        <v>20612.0</v>
      </c>
      <c r="X34" s="66" t="s">
        <v>105</v>
      </c>
      <c r="Y34" s="50">
        <v>78.9109</v>
      </c>
      <c r="Z34" s="14" t="s">
        <v>105</v>
      </c>
      <c r="AA34" s="50">
        <v>239367.0</v>
      </c>
      <c r="AB34" s="14" t="s">
        <v>105</v>
      </c>
      <c r="AC34" s="14" t="s">
        <v>105</v>
      </c>
      <c r="AD34" s="14" t="s">
        <v>105</v>
      </c>
      <c r="AE34" s="14" t="s">
        <v>105</v>
      </c>
      <c r="AF34" s="34" t="s">
        <v>88</v>
      </c>
      <c r="AG34" s="14" t="s">
        <v>105</v>
      </c>
      <c r="AH34" s="34" t="s">
        <v>72</v>
      </c>
      <c r="AI34" s="34" t="s">
        <v>88</v>
      </c>
      <c r="AJ34" s="14" t="s">
        <v>105</v>
      </c>
      <c r="AK34" s="51" t="s">
        <v>816</v>
      </c>
      <c r="AL34" s="25" t="s">
        <v>817</v>
      </c>
      <c r="AM34" s="25" t="s">
        <v>818</v>
      </c>
      <c r="AN34" s="25" t="s">
        <v>819</v>
      </c>
      <c r="AO34" s="36" t="s">
        <v>820</v>
      </c>
      <c r="AP34" s="25" t="s">
        <v>232</v>
      </c>
      <c r="AQ34" s="37">
        <v>46277.0</v>
      </c>
      <c r="AR34" s="24" t="s">
        <v>190</v>
      </c>
      <c r="AS34" s="25" t="s">
        <v>193</v>
      </c>
      <c r="AT34" s="25" t="s">
        <v>829</v>
      </c>
      <c r="AU34" s="70" t="s">
        <v>197</v>
      </c>
    </row>
    <row r="35" ht="24.75" hidden="1" customHeight="1">
      <c r="A35" s="12">
        <v>2.0</v>
      </c>
      <c r="B35" s="12"/>
      <c r="C35" s="13" t="s">
        <v>832</v>
      </c>
      <c r="D35" s="13"/>
      <c r="E35" s="12" t="s">
        <v>88</v>
      </c>
      <c r="F35" s="12">
        <v>2.0</v>
      </c>
      <c r="G35" s="12">
        <v>1750.0</v>
      </c>
      <c r="H35" s="12"/>
      <c r="I35" s="12" t="s">
        <v>145</v>
      </c>
      <c r="J35" s="13"/>
      <c r="K35" s="13" t="s">
        <v>248</v>
      </c>
      <c r="L35" s="13" t="s">
        <v>593</v>
      </c>
      <c r="M35" s="12" t="s">
        <v>95</v>
      </c>
      <c r="N35" s="25" t="s">
        <v>833</v>
      </c>
      <c r="O35" s="25" t="s">
        <v>100</v>
      </c>
      <c r="P35" s="33">
        <v>11.0161</v>
      </c>
      <c r="Q35" s="33">
        <v>76.971</v>
      </c>
      <c r="R35" s="33">
        <v>1995.0</v>
      </c>
      <c r="S35" s="25" t="s">
        <v>775</v>
      </c>
      <c r="T35" s="50" t="s">
        <v>105</v>
      </c>
      <c r="U35" s="14" t="s">
        <v>105</v>
      </c>
      <c r="V35" s="14" t="s">
        <v>105</v>
      </c>
      <c r="W35" s="14" t="s">
        <v>105</v>
      </c>
      <c r="X35" s="33" t="s">
        <v>105</v>
      </c>
      <c r="Y35" s="14" t="s">
        <v>105</v>
      </c>
      <c r="Z35" s="14" t="s">
        <v>105</v>
      </c>
      <c r="AA35" s="14" t="s">
        <v>105</v>
      </c>
      <c r="AB35" s="14" t="s">
        <v>105</v>
      </c>
      <c r="AC35" s="14" t="s">
        <v>105</v>
      </c>
      <c r="AD35" s="14" t="s">
        <v>105</v>
      </c>
      <c r="AE35" s="14" t="s">
        <v>105</v>
      </c>
      <c r="AF35" s="14" t="s">
        <v>105</v>
      </c>
      <c r="AG35" s="14" t="s">
        <v>105</v>
      </c>
      <c r="AH35" s="34" t="s">
        <v>72</v>
      </c>
      <c r="AI35" s="34" t="s">
        <v>72</v>
      </c>
      <c r="AJ35" s="25" t="s">
        <v>836</v>
      </c>
      <c r="AK35" s="14" t="s">
        <v>105</v>
      </c>
      <c r="AL35" s="25" t="s">
        <v>837</v>
      </c>
      <c r="AM35" s="25" t="s">
        <v>838</v>
      </c>
      <c r="AN35" s="25" t="s">
        <v>839</v>
      </c>
      <c r="AO35" s="36" t="s">
        <v>840</v>
      </c>
      <c r="AP35" s="25" t="s">
        <v>284</v>
      </c>
      <c r="AQ35" s="37">
        <v>46277.0</v>
      </c>
      <c r="AR35" s="24" t="s">
        <v>190</v>
      </c>
      <c r="AS35" s="25" t="s">
        <v>193</v>
      </c>
      <c r="AT35" s="25" t="s">
        <v>850</v>
      </c>
      <c r="AU35" s="25" t="s">
        <v>851</v>
      </c>
    </row>
    <row r="36" ht="19.5" hidden="1" customHeight="1">
      <c r="A36" s="12">
        <v>2.0</v>
      </c>
      <c r="B36" s="12"/>
      <c r="C36" s="13" t="s">
        <v>852</v>
      </c>
      <c r="D36" s="13"/>
      <c r="E36" s="12" t="s">
        <v>88</v>
      </c>
      <c r="F36" s="12">
        <v>1.0</v>
      </c>
      <c r="G36" s="12">
        <v>250.0</v>
      </c>
      <c r="H36" s="12"/>
      <c r="I36" s="12" t="s">
        <v>92</v>
      </c>
      <c r="J36" s="13"/>
      <c r="K36" s="13" t="s">
        <v>156</v>
      </c>
      <c r="L36" s="13" t="s">
        <v>855</v>
      </c>
      <c r="M36" s="12" t="s">
        <v>95</v>
      </c>
      <c r="N36" s="14" t="s">
        <v>856</v>
      </c>
      <c r="O36" s="14" t="s">
        <v>377</v>
      </c>
      <c r="P36" s="33">
        <v>19.09</v>
      </c>
      <c r="Q36" s="33">
        <v>73.13</v>
      </c>
      <c r="R36" s="15">
        <v>1995.0</v>
      </c>
      <c r="S36" s="14" t="s">
        <v>104</v>
      </c>
      <c r="T36" s="15">
        <v>66.0</v>
      </c>
      <c r="U36" s="14" t="s">
        <v>105</v>
      </c>
      <c r="V36" s="14" t="s">
        <v>105</v>
      </c>
      <c r="W36" s="14" t="s">
        <v>105</v>
      </c>
      <c r="X36" s="14" t="s">
        <v>105</v>
      </c>
      <c r="Y36" s="14" t="s">
        <v>105</v>
      </c>
      <c r="Z36" s="14" t="s">
        <v>105</v>
      </c>
      <c r="AA36" s="14" t="s">
        <v>105</v>
      </c>
      <c r="AB36" s="14" t="s">
        <v>105</v>
      </c>
      <c r="AC36" s="14" t="s">
        <v>105</v>
      </c>
      <c r="AD36" s="14" t="s">
        <v>105</v>
      </c>
      <c r="AE36" s="14" t="s">
        <v>105</v>
      </c>
      <c r="AF36" s="14" t="s">
        <v>105</v>
      </c>
      <c r="AG36" s="14" t="s">
        <v>105</v>
      </c>
      <c r="AH36" s="34" t="s">
        <v>88</v>
      </c>
      <c r="AI36" s="34" t="s">
        <v>88</v>
      </c>
      <c r="AJ36" s="14" t="s">
        <v>105</v>
      </c>
      <c r="AK36" s="14" t="s">
        <v>105</v>
      </c>
      <c r="AL36" s="14" t="s">
        <v>859</v>
      </c>
      <c r="AM36" s="14" t="s">
        <v>860</v>
      </c>
      <c r="AN36" s="14" t="s">
        <v>861</v>
      </c>
      <c r="AO36" s="71" t="s">
        <v>862</v>
      </c>
      <c r="AP36" s="25" t="s">
        <v>284</v>
      </c>
      <c r="AQ36" s="23">
        <v>46277.0</v>
      </c>
      <c r="AR36" s="24" t="s">
        <v>190</v>
      </c>
      <c r="AS36" s="25" t="s">
        <v>193</v>
      </c>
      <c r="AT36" s="25" t="s">
        <v>875</v>
      </c>
      <c r="AU36" s="69" t="s">
        <v>876</v>
      </c>
    </row>
    <row r="37" ht="20.25" hidden="1" customHeight="1">
      <c r="A37" s="12">
        <v>2.0</v>
      </c>
      <c r="B37" s="12"/>
      <c r="C37" s="13" t="s">
        <v>877</v>
      </c>
      <c r="D37" s="13"/>
      <c r="E37" s="12" t="s">
        <v>88</v>
      </c>
      <c r="F37" s="12">
        <v>1.0</v>
      </c>
      <c r="G37" s="12">
        <v>1500.0</v>
      </c>
      <c r="H37" s="12">
        <v>2.6</v>
      </c>
      <c r="I37" s="12" t="s">
        <v>128</v>
      </c>
      <c r="J37" s="13"/>
      <c r="K37" s="13" t="s">
        <v>156</v>
      </c>
      <c r="L37" s="13" t="s">
        <v>812</v>
      </c>
      <c r="M37" s="12" t="s">
        <v>95</v>
      </c>
      <c r="N37" s="25" t="s">
        <v>733</v>
      </c>
      <c r="O37" s="25" t="s">
        <v>459</v>
      </c>
      <c r="P37" s="33">
        <v>27.1767</v>
      </c>
      <c r="Q37" s="33">
        <v>78.0081</v>
      </c>
      <c r="R37" s="33">
        <v>1987.0</v>
      </c>
      <c r="S37" s="25" t="s">
        <v>775</v>
      </c>
      <c r="T37" s="33" t="s">
        <v>105</v>
      </c>
      <c r="U37" s="14" t="s">
        <v>105</v>
      </c>
      <c r="V37" s="14" t="s">
        <v>105</v>
      </c>
      <c r="W37" s="14" t="s">
        <v>105</v>
      </c>
      <c r="X37" s="14" t="s">
        <v>105</v>
      </c>
      <c r="Y37" s="14" t="s">
        <v>105</v>
      </c>
      <c r="Z37" s="66">
        <v>0.35</v>
      </c>
      <c r="AA37" s="14" t="s">
        <v>105</v>
      </c>
      <c r="AB37" s="14" t="s">
        <v>105</v>
      </c>
      <c r="AC37" s="14" t="s">
        <v>105</v>
      </c>
      <c r="AD37" s="14" t="s">
        <v>105</v>
      </c>
      <c r="AE37" s="14" t="s">
        <v>105</v>
      </c>
      <c r="AF37" s="34" t="s">
        <v>88</v>
      </c>
      <c r="AG37" s="14" t="s">
        <v>105</v>
      </c>
      <c r="AH37" s="34" t="s">
        <v>88</v>
      </c>
      <c r="AI37" s="34" t="s">
        <v>88</v>
      </c>
      <c r="AJ37" s="14" t="s">
        <v>105</v>
      </c>
      <c r="AK37" s="14" t="s">
        <v>105</v>
      </c>
      <c r="AL37" s="25" t="s">
        <v>882</v>
      </c>
      <c r="AM37" s="25" t="s">
        <v>883</v>
      </c>
      <c r="AN37" s="25" t="s">
        <v>884</v>
      </c>
      <c r="AO37" s="36" t="s">
        <v>885</v>
      </c>
      <c r="AP37" s="25" t="s">
        <v>284</v>
      </c>
      <c r="AQ37" s="23">
        <v>46277.0</v>
      </c>
      <c r="AR37" s="24" t="s">
        <v>190</v>
      </c>
      <c r="AS37" s="25" t="s">
        <v>193</v>
      </c>
      <c r="AT37" s="25" t="s">
        <v>894</v>
      </c>
      <c r="AU37" s="25" t="s">
        <v>896</v>
      </c>
    </row>
    <row r="38" ht="39.0" hidden="1" customHeight="1">
      <c r="A38" s="12">
        <v>2.0</v>
      </c>
      <c r="B38" s="12"/>
      <c r="C38" s="13" t="s">
        <v>897</v>
      </c>
      <c r="D38" s="13"/>
      <c r="E38" s="12" t="s">
        <v>88</v>
      </c>
      <c r="F38" s="12">
        <v>1.0</v>
      </c>
      <c r="G38" s="12">
        <v>1500.0</v>
      </c>
      <c r="H38" s="12">
        <v>3.1</v>
      </c>
      <c r="I38" s="12" t="s">
        <v>128</v>
      </c>
      <c r="J38" s="13"/>
      <c r="K38" s="13" t="s">
        <v>93</v>
      </c>
      <c r="L38" s="13" t="s">
        <v>697</v>
      </c>
      <c r="M38" s="12" t="s">
        <v>95</v>
      </c>
      <c r="N38" s="25" t="s">
        <v>439</v>
      </c>
      <c r="O38" s="25" t="s">
        <v>459</v>
      </c>
      <c r="P38" s="33">
        <v>28.8386</v>
      </c>
      <c r="Q38" s="33">
        <v>78.7733</v>
      </c>
      <c r="R38" s="33">
        <v>1996.0</v>
      </c>
      <c r="S38" s="25" t="s">
        <v>898</v>
      </c>
      <c r="T38" s="33">
        <v>2156.0</v>
      </c>
      <c r="U38" s="14" t="s">
        <v>105</v>
      </c>
      <c r="V38" s="14" t="s">
        <v>105</v>
      </c>
      <c r="W38" s="14" t="s">
        <v>105</v>
      </c>
      <c r="X38" s="14" t="s">
        <v>105</v>
      </c>
      <c r="Y38" s="14" t="s">
        <v>105</v>
      </c>
      <c r="Z38" s="14" t="s">
        <v>105</v>
      </c>
      <c r="AA38" s="14" t="s">
        <v>105</v>
      </c>
      <c r="AB38" s="14" t="s">
        <v>105</v>
      </c>
      <c r="AC38" s="14" t="s">
        <v>105</v>
      </c>
      <c r="AD38" s="14" t="s">
        <v>105</v>
      </c>
      <c r="AE38" s="34" t="s">
        <v>106</v>
      </c>
      <c r="AF38" s="14" t="s">
        <v>105</v>
      </c>
      <c r="AG38" s="14" t="s">
        <v>105</v>
      </c>
      <c r="AH38" s="34" t="s">
        <v>88</v>
      </c>
      <c r="AI38" s="34" t="s">
        <v>88</v>
      </c>
      <c r="AJ38" s="14" t="s">
        <v>105</v>
      </c>
      <c r="AK38" s="14" t="s">
        <v>105</v>
      </c>
      <c r="AL38" s="14" t="s">
        <v>105</v>
      </c>
      <c r="AM38" s="25" t="s">
        <v>902</v>
      </c>
      <c r="AN38" s="14" t="s">
        <v>105</v>
      </c>
      <c r="AO38" s="72" t="s">
        <v>903</v>
      </c>
      <c r="AP38" s="25" t="s">
        <v>232</v>
      </c>
      <c r="AQ38" s="23">
        <v>46277.0</v>
      </c>
      <c r="AR38" s="24" t="s">
        <v>190</v>
      </c>
      <c r="AS38" s="25" t="s">
        <v>193</v>
      </c>
      <c r="AT38" s="25" t="s">
        <v>911</v>
      </c>
      <c r="AU38" s="25" t="s">
        <v>197</v>
      </c>
    </row>
    <row r="39" ht="12.75" hidden="1" customHeight="1">
      <c r="A39" s="12">
        <v>2.0</v>
      </c>
      <c r="B39" s="12"/>
      <c r="C39" s="13" t="s">
        <v>908</v>
      </c>
      <c r="D39" s="13"/>
      <c r="E39" s="12" t="s">
        <v>88</v>
      </c>
      <c r="F39" s="12">
        <v>1.0</v>
      </c>
      <c r="G39" s="12">
        <v>1500.0</v>
      </c>
      <c r="H39" s="12">
        <v>0.3</v>
      </c>
      <c r="I39" s="12" t="s">
        <v>92</v>
      </c>
      <c r="J39" s="13"/>
      <c r="K39" s="13" t="s">
        <v>156</v>
      </c>
      <c r="L39" s="13" t="s">
        <v>697</v>
      </c>
      <c r="M39" s="12" t="s">
        <v>95</v>
      </c>
      <c r="N39" s="25" t="s">
        <v>915</v>
      </c>
      <c r="O39" s="25" t="s">
        <v>699</v>
      </c>
      <c r="P39" s="33">
        <v>26.28</v>
      </c>
      <c r="Q39" s="33">
        <v>73.02</v>
      </c>
      <c r="R39" s="33">
        <v>1998.0</v>
      </c>
      <c r="S39" s="25" t="s">
        <v>898</v>
      </c>
      <c r="T39" s="33" t="s">
        <v>105</v>
      </c>
      <c r="U39" s="14" t="s">
        <v>105</v>
      </c>
      <c r="V39" s="14" t="s">
        <v>105</v>
      </c>
      <c r="W39" s="14" t="s">
        <v>105</v>
      </c>
      <c r="X39" s="14">
        <v>50.0</v>
      </c>
      <c r="Y39" s="14" t="s">
        <v>105</v>
      </c>
      <c r="Z39" s="14" t="s">
        <v>105</v>
      </c>
      <c r="AA39" s="14" t="s">
        <v>105</v>
      </c>
      <c r="AB39" s="14" t="s">
        <v>105</v>
      </c>
      <c r="AC39" s="14" t="s">
        <v>105</v>
      </c>
      <c r="AD39" s="14" t="s">
        <v>105</v>
      </c>
      <c r="AE39" s="34" t="s">
        <v>218</v>
      </c>
      <c r="AF39" s="34" t="s">
        <v>88</v>
      </c>
      <c r="AG39" s="14" t="s">
        <v>105</v>
      </c>
      <c r="AH39" s="34" t="s">
        <v>88</v>
      </c>
      <c r="AI39" s="34" t="s">
        <v>88</v>
      </c>
      <c r="AJ39" s="14" t="s">
        <v>105</v>
      </c>
      <c r="AK39" s="14" t="s">
        <v>105</v>
      </c>
      <c r="AL39" s="25" t="s">
        <v>302</v>
      </c>
      <c r="AM39" s="25" t="s">
        <v>920</v>
      </c>
      <c r="AN39" s="25" t="s">
        <v>921</v>
      </c>
      <c r="AO39" s="36" t="s">
        <v>922</v>
      </c>
      <c r="AP39" s="25" t="s">
        <v>284</v>
      </c>
      <c r="AQ39" s="23">
        <v>46277.0</v>
      </c>
      <c r="AR39" s="24" t="s">
        <v>190</v>
      </c>
      <c r="AS39" s="25" t="s">
        <v>193</v>
      </c>
      <c r="AT39" s="25" t="s">
        <v>929</v>
      </c>
      <c r="AU39" s="25" t="s">
        <v>930</v>
      </c>
    </row>
    <row r="40" ht="27.0" hidden="1" customHeight="1">
      <c r="A40" s="12">
        <v>2.0</v>
      </c>
      <c r="B40" s="12"/>
      <c r="C40" s="13" t="s">
        <v>912</v>
      </c>
      <c r="D40" s="13"/>
      <c r="E40" s="12" t="s">
        <v>88</v>
      </c>
      <c r="F40" s="12">
        <v>1.0</v>
      </c>
      <c r="G40" s="12">
        <v>1500.0</v>
      </c>
      <c r="H40" s="12">
        <v>21.4</v>
      </c>
      <c r="I40" s="12" t="s">
        <v>91</v>
      </c>
      <c r="J40" s="13"/>
      <c r="K40" s="13" t="s">
        <v>248</v>
      </c>
      <c r="L40" s="13" t="s">
        <v>742</v>
      </c>
      <c r="M40" s="12" t="s">
        <v>95</v>
      </c>
      <c r="N40" s="25" t="s">
        <v>698</v>
      </c>
      <c r="O40" s="25" t="s">
        <v>699</v>
      </c>
      <c r="P40" s="33">
        <v>26.9124</v>
      </c>
      <c r="Q40" s="33">
        <v>75.7873</v>
      </c>
      <c r="R40" s="33">
        <v>1917.0</v>
      </c>
      <c r="S40" s="25" t="s">
        <v>775</v>
      </c>
      <c r="T40" s="50" t="s">
        <v>105</v>
      </c>
      <c r="U40" s="14" t="s">
        <v>105</v>
      </c>
      <c r="V40" s="14" t="s">
        <v>105</v>
      </c>
      <c r="W40" s="14" t="s">
        <v>105</v>
      </c>
      <c r="X40" s="33" t="s">
        <v>105</v>
      </c>
      <c r="Y40" s="33" t="s">
        <v>105</v>
      </c>
      <c r="Z40" s="33" t="s">
        <v>105</v>
      </c>
      <c r="AA40" s="14" t="s">
        <v>105</v>
      </c>
      <c r="AB40" s="14" t="s">
        <v>105</v>
      </c>
      <c r="AC40" s="14" t="s">
        <v>105</v>
      </c>
      <c r="AD40" s="14" t="s">
        <v>105</v>
      </c>
      <c r="AE40" s="34" t="s">
        <v>106</v>
      </c>
      <c r="AF40" s="34" t="s">
        <v>88</v>
      </c>
      <c r="AG40" s="14" t="s">
        <v>105</v>
      </c>
      <c r="AH40" s="34" t="s">
        <v>88</v>
      </c>
      <c r="AI40" s="34" t="s">
        <v>88</v>
      </c>
      <c r="AJ40" s="14" t="s">
        <v>105</v>
      </c>
      <c r="AK40" s="14" t="s">
        <v>105</v>
      </c>
      <c r="AL40" s="25" t="s">
        <v>302</v>
      </c>
      <c r="AM40" s="25" t="s">
        <v>937</v>
      </c>
      <c r="AN40" s="25" t="s">
        <v>939</v>
      </c>
      <c r="AO40" s="36" t="s">
        <v>940</v>
      </c>
      <c r="AP40" s="25" t="s">
        <v>284</v>
      </c>
      <c r="AQ40" s="23">
        <v>46277.0</v>
      </c>
      <c r="AR40" s="24" t="s">
        <v>190</v>
      </c>
      <c r="AS40" s="25" t="s">
        <v>193</v>
      </c>
      <c r="AT40" s="25" t="s">
        <v>947</v>
      </c>
      <c r="AU40" s="25" t="s">
        <v>948</v>
      </c>
    </row>
    <row r="41" ht="16.5" hidden="1" customHeight="1">
      <c r="A41" s="12">
        <v>2.0</v>
      </c>
      <c r="B41" s="12"/>
      <c r="C41" s="13" t="s">
        <v>916</v>
      </c>
      <c r="D41" s="13"/>
      <c r="E41" s="12" t="s">
        <v>88</v>
      </c>
      <c r="F41" s="12">
        <v>1.0</v>
      </c>
      <c r="G41" s="12">
        <v>1500.0</v>
      </c>
      <c r="H41" s="12"/>
      <c r="I41" s="12" t="s">
        <v>91</v>
      </c>
      <c r="J41" s="13"/>
      <c r="K41" s="13" t="s">
        <v>94</v>
      </c>
      <c r="L41" s="13"/>
      <c r="M41" s="13" t="s">
        <v>95</v>
      </c>
      <c r="N41" s="25" t="s">
        <v>950</v>
      </c>
      <c r="O41" s="25" t="s">
        <v>952</v>
      </c>
      <c r="P41" s="33">
        <v>17.6868</v>
      </c>
      <c r="Q41" s="33">
        <v>83.2185</v>
      </c>
      <c r="R41" s="33">
        <v>2009.0</v>
      </c>
      <c r="S41" s="25" t="s">
        <v>789</v>
      </c>
      <c r="T41" s="50" t="s">
        <v>105</v>
      </c>
      <c r="U41" s="14" t="s">
        <v>105</v>
      </c>
      <c r="V41" s="14" t="s">
        <v>105</v>
      </c>
      <c r="W41" s="14" t="s">
        <v>105</v>
      </c>
      <c r="X41" s="33" t="s">
        <v>105</v>
      </c>
      <c r="Y41" s="33" t="s">
        <v>105</v>
      </c>
      <c r="Z41" s="33" t="s">
        <v>105</v>
      </c>
      <c r="AA41" s="33" t="s">
        <v>105</v>
      </c>
      <c r="AB41" s="33" t="s">
        <v>105</v>
      </c>
      <c r="AC41" s="14" t="s">
        <v>105</v>
      </c>
      <c r="AD41" s="14" t="s">
        <v>105</v>
      </c>
      <c r="AE41" s="34" t="s">
        <v>576</v>
      </c>
      <c r="AF41" s="34" t="s">
        <v>88</v>
      </c>
      <c r="AG41" s="14" t="s">
        <v>105</v>
      </c>
      <c r="AH41" s="34" t="s">
        <v>72</v>
      </c>
      <c r="AI41" s="34" t="s">
        <v>72</v>
      </c>
      <c r="AJ41" s="25" t="s">
        <v>954</v>
      </c>
      <c r="AK41" s="14" t="s">
        <v>105</v>
      </c>
      <c r="AL41" s="25" t="s">
        <v>957</v>
      </c>
      <c r="AM41" s="25" t="s">
        <v>958</v>
      </c>
      <c r="AN41" s="25" t="s">
        <v>959</v>
      </c>
      <c r="AO41" s="36" t="s">
        <v>960</v>
      </c>
      <c r="AP41" s="25" t="s">
        <v>486</v>
      </c>
      <c r="AQ41" s="23">
        <v>46277.0</v>
      </c>
      <c r="AR41" s="24" t="s">
        <v>190</v>
      </c>
      <c r="AS41" s="25" t="s">
        <v>193</v>
      </c>
      <c r="AT41" s="25" t="s">
        <v>966</v>
      </c>
      <c r="AU41" s="25" t="s">
        <v>967</v>
      </c>
    </row>
    <row r="42" ht="18.75" hidden="1" customHeight="1">
      <c r="A42" s="12">
        <v>2.0</v>
      </c>
      <c r="B42" s="12"/>
      <c r="C42" s="13" t="s">
        <v>923</v>
      </c>
      <c r="D42" s="13"/>
      <c r="E42" s="12" t="s">
        <v>88</v>
      </c>
      <c r="F42" s="12">
        <v>2.0</v>
      </c>
      <c r="G42" s="12">
        <v>1500.0</v>
      </c>
      <c r="H42" s="12">
        <v>94.1</v>
      </c>
      <c r="I42" s="12" t="s">
        <v>145</v>
      </c>
      <c r="J42" s="13"/>
      <c r="K42" s="13" t="s">
        <v>156</v>
      </c>
      <c r="L42" s="13" t="s">
        <v>812</v>
      </c>
      <c r="M42" s="13" t="s">
        <v>72</v>
      </c>
      <c r="N42" s="25" t="s">
        <v>969</v>
      </c>
      <c r="O42" s="25" t="s">
        <v>100</v>
      </c>
      <c r="P42" s="33">
        <v>12.785</v>
      </c>
      <c r="Q42" s="33">
        <v>78.718</v>
      </c>
      <c r="R42" s="33">
        <v>1976.0</v>
      </c>
      <c r="S42" s="25" t="s">
        <v>789</v>
      </c>
      <c r="T42" s="50">
        <v>4371.0</v>
      </c>
      <c r="U42" s="33">
        <v>297.55</v>
      </c>
      <c r="V42" s="52">
        <v>2942.48</v>
      </c>
      <c r="W42" s="52">
        <v>3240.03</v>
      </c>
      <c r="X42" s="33">
        <v>70.0</v>
      </c>
      <c r="Y42" s="33">
        <v>41.81</v>
      </c>
      <c r="Z42" s="14" t="s">
        <v>105</v>
      </c>
      <c r="AA42" s="33">
        <v>42223.0</v>
      </c>
      <c r="AB42" s="14" t="s">
        <v>105</v>
      </c>
      <c r="AC42" s="33">
        <v>77.49</v>
      </c>
      <c r="AD42" s="14" t="s">
        <v>105</v>
      </c>
      <c r="AE42" s="14" t="s">
        <v>105</v>
      </c>
      <c r="AF42" s="34" t="s">
        <v>88</v>
      </c>
      <c r="AG42" s="14" t="s">
        <v>105</v>
      </c>
      <c r="AH42" s="34" t="s">
        <v>72</v>
      </c>
      <c r="AI42" s="34" t="s">
        <v>88</v>
      </c>
      <c r="AJ42" s="25" t="s">
        <v>974</v>
      </c>
      <c r="AK42" s="14" t="s">
        <v>105</v>
      </c>
      <c r="AL42" s="25" t="s">
        <v>882</v>
      </c>
      <c r="AM42" s="25" t="s">
        <v>976</v>
      </c>
      <c r="AN42" s="25" t="s">
        <v>977</v>
      </c>
      <c r="AO42" s="36" t="s">
        <v>978</v>
      </c>
      <c r="AP42" s="25" t="s">
        <v>983</v>
      </c>
      <c r="AQ42" s="23">
        <v>46277.0</v>
      </c>
      <c r="AR42" s="24" t="s">
        <v>190</v>
      </c>
      <c r="AS42" s="25" t="s">
        <v>193</v>
      </c>
      <c r="AT42" s="25" t="s">
        <v>986</v>
      </c>
      <c r="AU42" s="25" t="s">
        <v>987</v>
      </c>
    </row>
    <row r="43" ht="21.75" hidden="1" customHeight="1">
      <c r="A43" s="12">
        <v>2.0</v>
      </c>
      <c r="B43" s="12"/>
      <c r="C43" s="13" t="s">
        <v>928</v>
      </c>
      <c r="D43" s="13"/>
      <c r="E43" s="12" t="s">
        <v>88</v>
      </c>
      <c r="F43" s="12">
        <v>1.0</v>
      </c>
      <c r="G43" s="12">
        <v>1500.0</v>
      </c>
      <c r="H43" s="12"/>
      <c r="I43" s="12" t="s">
        <v>145</v>
      </c>
      <c r="J43" s="13"/>
      <c r="K43" s="13" t="s">
        <v>94</v>
      </c>
      <c r="L43" s="13"/>
      <c r="M43" s="13" t="s">
        <v>95</v>
      </c>
      <c r="N43" s="25" t="s">
        <v>990</v>
      </c>
      <c r="O43" s="25" t="s">
        <v>100</v>
      </c>
      <c r="P43" s="33">
        <v>11.341</v>
      </c>
      <c r="Q43" s="33">
        <v>77.7172</v>
      </c>
      <c r="R43" s="33">
        <v>2012.0</v>
      </c>
      <c r="S43" s="25" t="s">
        <v>898</v>
      </c>
      <c r="T43" s="33">
        <v>67.0</v>
      </c>
      <c r="U43" s="14" t="s">
        <v>105</v>
      </c>
      <c r="V43" s="14" t="s">
        <v>105</v>
      </c>
      <c r="W43" s="14" t="s">
        <v>105</v>
      </c>
      <c r="X43" s="14" t="s">
        <v>105</v>
      </c>
      <c r="Y43" s="14" t="s">
        <v>105</v>
      </c>
      <c r="Z43" s="14" t="s">
        <v>105</v>
      </c>
      <c r="AA43" s="14" t="s">
        <v>105</v>
      </c>
      <c r="AB43" s="14" t="s">
        <v>105</v>
      </c>
      <c r="AC43" s="14" t="s">
        <v>105</v>
      </c>
      <c r="AD43" s="14" t="s">
        <v>105</v>
      </c>
      <c r="AE43" s="34" t="s">
        <v>106</v>
      </c>
      <c r="AF43" s="34" t="s">
        <v>88</v>
      </c>
      <c r="AG43" s="14" t="s">
        <v>105</v>
      </c>
      <c r="AH43" s="34" t="s">
        <v>88</v>
      </c>
      <c r="AI43" s="34" t="s">
        <v>88</v>
      </c>
      <c r="AJ43" s="14" t="s">
        <v>105</v>
      </c>
      <c r="AK43" s="14" t="s">
        <v>105</v>
      </c>
      <c r="AL43" s="25" t="s">
        <v>994</v>
      </c>
      <c r="AM43" s="69" t="s">
        <v>995</v>
      </c>
      <c r="AN43" s="69" t="s">
        <v>997</v>
      </c>
      <c r="AO43" s="72" t="s">
        <v>998</v>
      </c>
      <c r="AP43" s="25" t="s">
        <v>284</v>
      </c>
      <c r="AQ43" s="23">
        <v>46277.0</v>
      </c>
      <c r="AR43" s="24" t="s">
        <v>190</v>
      </c>
      <c r="AS43" s="25" t="s">
        <v>193</v>
      </c>
      <c r="AT43" s="25" t="s">
        <v>1005</v>
      </c>
      <c r="AU43" s="25" t="s">
        <v>197</v>
      </c>
    </row>
    <row r="44" ht="15.0" hidden="1" customHeight="1">
      <c r="A44" s="26">
        <v>2.0</v>
      </c>
      <c r="B44" s="26" t="s">
        <v>1007</v>
      </c>
      <c r="C44" s="27" t="s">
        <v>934</v>
      </c>
      <c r="D44" s="27"/>
      <c r="E44" s="26" t="s">
        <v>1007</v>
      </c>
      <c r="F44" s="26">
        <v>1.0</v>
      </c>
      <c r="G44" s="26">
        <v>1500.0</v>
      </c>
      <c r="H44" s="26">
        <v>49.8</v>
      </c>
      <c r="I44" s="26" t="s">
        <v>145</v>
      </c>
      <c r="J44" s="27"/>
      <c r="K44" s="27" t="s">
        <v>156</v>
      </c>
      <c r="L44" s="27" t="s">
        <v>593</v>
      </c>
      <c r="M44" s="27" t="s">
        <v>95</v>
      </c>
      <c r="N44" s="73" t="s">
        <v>376</v>
      </c>
      <c r="O44" s="73" t="s">
        <v>377</v>
      </c>
      <c r="P44" s="74">
        <v>18.922</v>
      </c>
      <c r="Q44" s="74">
        <v>72.8231</v>
      </c>
      <c r="R44" s="74">
        <v>1988.0</v>
      </c>
      <c r="S44" s="73" t="s">
        <v>198</v>
      </c>
      <c r="T44" s="74">
        <v>7442.0</v>
      </c>
      <c r="U44" s="74">
        <v>185243.0</v>
      </c>
      <c r="V44" s="74">
        <v>105108.0</v>
      </c>
      <c r="W44" s="74">
        <v>290351.0</v>
      </c>
      <c r="X44" s="74" t="s">
        <v>105</v>
      </c>
      <c r="Y44" s="74" t="s">
        <v>105</v>
      </c>
      <c r="Z44" s="74">
        <v>9.3</v>
      </c>
      <c r="AA44" s="74" t="s">
        <v>105</v>
      </c>
      <c r="AB44" s="74" t="s">
        <v>105</v>
      </c>
      <c r="AC44" s="74" t="s">
        <v>105</v>
      </c>
      <c r="AD44" s="74">
        <v>67.0</v>
      </c>
      <c r="AE44" s="75" t="s">
        <v>1015</v>
      </c>
      <c r="AF44" s="75" t="s">
        <v>88</v>
      </c>
      <c r="AG44" s="75" t="s">
        <v>319</v>
      </c>
      <c r="AH44" s="75" t="s">
        <v>72</v>
      </c>
      <c r="AI44" s="75" t="s">
        <v>72</v>
      </c>
      <c r="AJ44" s="73" t="s">
        <v>1018</v>
      </c>
      <c r="AK44" s="73" t="s">
        <v>1019</v>
      </c>
      <c r="AL44" s="73" t="s">
        <v>1021</v>
      </c>
      <c r="AM44" s="73" t="s">
        <v>1023</v>
      </c>
      <c r="AN44" s="73" t="s">
        <v>1024</v>
      </c>
      <c r="AO44" s="73" t="s">
        <v>414</v>
      </c>
      <c r="AP44" s="73" t="s">
        <v>176</v>
      </c>
      <c r="AQ44" s="31">
        <v>46204.0</v>
      </c>
      <c r="AR44" s="76" t="s">
        <v>237</v>
      </c>
      <c r="AS44" s="73" t="s">
        <v>240</v>
      </c>
      <c r="AT44" s="28" t="s">
        <v>416</v>
      </c>
      <c r="AU44" s="73"/>
    </row>
    <row r="45" ht="18.75" hidden="1" customHeight="1">
      <c r="A45" s="12">
        <v>2.0</v>
      </c>
      <c r="B45" s="12"/>
      <c r="C45" s="13" t="s">
        <v>938</v>
      </c>
      <c r="D45" s="13"/>
      <c r="E45" s="12" t="s">
        <v>88</v>
      </c>
      <c r="F45" s="12">
        <v>1.0</v>
      </c>
      <c r="G45" s="12">
        <v>1500.0</v>
      </c>
      <c r="H45" s="12"/>
      <c r="I45" s="12" t="s">
        <v>145</v>
      </c>
      <c r="J45" s="13"/>
      <c r="K45" s="13" t="s">
        <v>669</v>
      </c>
      <c r="L45" s="13"/>
      <c r="M45" s="13" t="s">
        <v>95</v>
      </c>
      <c r="N45" s="77" t="s">
        <v>1029</v>
      </c>
      <c r="O45" s="77" t="s">
        <v>952</v>
      </c>
      <c r="P45" s="78">
        <v>16.5062</v>
      </c>
      <c r="Q45" s="78">
        <v>80.648</v>
      </c>
      <c r="R45" s="78">
        <v>2005.0</v>
      </c>
      <c r="S45" s="77" t="s">
        <v>1033</v>
      </c>
      <c r="T45" s="79" t="s">
        <v>105</v>
      </c>
      <c r="U45" s="14" t="s">
        <v>105</v>
      </c>
      <c r="V45" s="14" t="s">
        <v>105</v>
      </c>
      <c r="W45" s="14" t="s">
        <v>105</v>
      </c>
      <c r="X45" s="14" t="s">
        <v>105</v>
      </c>
      <c r="Y45" s="14" t="s">
        <v>105</v>
      </c>
      <c r="Z45" s="15">
        <v>10.8</v>
      </c>
      <c r="AA45" s="53" t="s">
        <v>105</v>
      </c>
      <c r="AB45" s="14" t="s">
        <v>105</v>
      </c>
      <c r="AC45" s="14" t="s">
        <v>105</v>
      </c>
      <c r="AD45" s="14" t="s">
        <v>105</v>
      </c>
      <c r="AE45" s="17" t="s">
        <v>218</v>
      </c>
      <c r="AF45" s="34" t="s">
        <v>88</v>
      </c>
      <c r="AG45" s="14" t="s">
        <v>105</v>
      </c>
      <c r="AH45" s="80" t="s">
        <v>72</v>
      </c>
      <c r="AI45" s="80" t="s">
        <v>72</v>
      </c>
      <c r="AJ45" s="14" t="s">
        <v>1038</v>
      </c>
      <c r="AK45" s="14" t="s">
        <v>1039</v>
      </c>
      <c r="AL45" s="25" t="s">
        <v>302</v>
      </c>
      <c r="AM45" s="14" t="s">
        <v>1040</v>
      </c>
      <c r="AN45" s="14" t="s">
        <v>952</v>
      </c>
      <c r="AO45" s="14" t="s">
        <v>1042</v>
      </c>
      <c r="AP45" s="14" t="s">
        <v>486</v>
      </c>
      <c r="AQ45" s="37">
        <v>46277.0</v>
      </c>
      <c r="AR45" s="24" t="s">
        <v>190</v>
      </c>
      <c r="AS45" s="25" t="s">
        <v>193</v>
      </c>
      <c r="AT45" s="25" t="s">
        <v>1046</v>
      </c>
      <c r="AU45" s="69" t="s">
        <v>197</v>
      </c>
    </row>
    <row r="46" ht="12.75" hidden="1" customHeight="1">
      <c r="A46" s="12">
        <v>2.0</v>
      </c>
      <c r="B46" s="12"/>
      <c r="C46" s="13" t="s">
        <v>943</v>
      </c>
      <c r="D46" s="13"/>
      <c r="E46" s="12" t="s">
        <v>88</v>
      </c>
      <c r="F46" s="12">
        <v>1.0</v>
      </c>
      <c r="G46" s="12">
        <v>1500.0</v>
      </c>
      <c r="H46" s="12">
        <v>45.6</v>
      </c>
      <c r="I46" s="12" t="s">
        <v>145</v>
      </c>
      <c r="J46" s="13"/>
      <c r="K46" s="13" t="s">
        <v>93</v>
      </c>
      <c r="L46" s="13" t="s">
        <v>118</v>
      </c>
      <c r="M46" s="13" t="s">
        <v>95</v>
      </c>
      <c r="N46" s="77" t="s">
        <v>458</v>
      </c>
      <c r="O46" s="77" t="s">
        <v>637</v>
      </c>
      <c r="P46" s="78">
        <v>28.6273</v>
      </c>
      <c r="Q46" s="78">
        <v>77.3725</v>
      </c>
      <c r="R46" s="78">
        <v>2019.0</v>
      </c>
      <c r="S46" s="77" t="s">
        <v>104</v>
      </c>
      <c r="T46" s="78" t="s">
        <v>105</v>
      </c>
      <c r="U46" s="14" t="s">
        <v>105</v>
      </c>
      <c r="V46" s="14" t="s">
        <v>105</v>
      </c>
      <c r="W46" s="14" t="s">
        <v>105</v>
      </c>
      <c r="X46" s="14" t="s">
        <v>105</v>
      </c>
      <c r="Y46" s="14" t="s">
        <v>105</v>
      </c>
      <c r="Z46" s="14" t="s">
        <v>105</v>
      </c>
      <c r="AA46" s="14" t="s">
        <v>105</v>
      </c>
      <c r="AB46" s="14" t="s">
        <v>105</v>
      </c>
      <c r="AC46" s="14" t="s">
        <v>105</v>
      </c>
      <c r="AD46" s="14" t="s">
        <v>105</v>
      </c>
      <c r="AE46" s="17" t="s">
        <v>106</v>
      </c>
      <c r="AF46" s="34" t="s">
        <v>88</v>
      </c>
      <c r="AG46" s="14" t="s">
        <v>105</v>
      </c>
      <c r="AH46" s="80" t="s">
        <v>88</v>
      </c>
      <c r="AI46" s="80" t="s">
        <v>88</v>
      </c>
      <c r="AJ46" s="14" t="s">
        <v>1051</v>
      </c>
      <c r="AK46" s="14" t="s">
        <v>1052</v>
      </c>
      <c r="AL46" s="14" t="s">
        <v>1054</v>
      </c>
      <c r="AM46" s="14" t="s">
        <v>1055</v>
      </c>
      <c r="AN46" s="14" t="s">
        <v>1057</v>
      </c>
      <c r="AO46" s="22" t="s">
        <v>1058</v>
      </c>
      <c r="AP46" s="25" t="s">
        <v>284</v>
      </c>
      <c r="AQ46" s="37">
        <v>46277.0</v>
      </c>
      <c r="AR46" s="24" t="s">
        <v>190</v>
      </c>
      <c r="AS46" s="25" t="s">
        <v>193</v>
      </c>
      <c r="AT46" s="25" t="s">
        <v>1066</v>
      </c>
      <c r="AU46" s="77" t="s">
        <v>197</v>
      </c>
    </row>
    <row r="47" ht="18.75" customHeight="1">
      <c r="A47" s="40">
        <v>2.0</v>
      </c>
      <c r="B47" s="40"/>
      <c r="C47" s="41" t="s">
        <v>946</v>
      </c>
      <c r="D47" s="42"/>
      <c r="E47" s="40" t="s">
        <v>88</v>
      </c>
      <c r="F47" s="40">
        <v>1.0</v>
      </c>
      <c r="G47" s="40">
        <v>1500.0</v>
      </c>
      <c r="H47" s="40"/>
      <c r="I47" s="40" t="s">
        <v>145</v>
      </c>
      <c r="J47" s="42" t="s">
        <v>627</v>
      </c>
      <c r="K47" s="42" t="s">
        <v>93</v>
      </c>
      <c r="L47" s="42" t="s">
        <v>118</v>
      </c>
      <c r="M47" s="42" t="s">
        <v>95</v>
      </c>
      <c r="N47" s="81" t="s">
        <v>1070</v>
      </c>
      <c r="O47" s="81" t="s">
        <v>407</v>
      </c>
      <c r="P47" s="82">
        <v>28.351</v>
      </c>
      <c r="Q47" s="82">
        <v>76.94</v>
      </c>
      <c r="R47" s="82">
        <v>1986.0</v>
      </c>
      <c r="S47" s="81" t="s">
        <v>104</v>
      </c>
      <c r="T47" s="82">
        <v>1000.0</v>
      </c>
      <c r="U47" s="45" t="s">
        <v>105</v>
      </c>
      <c r="V47" s="45" t="s">
        <v>105</v>
      </c>
      <c r="W47" s="45" t="s">
        <v>105</v>
      </c>
      <c r="X47" s="45" t="s">
        <v>105</v>
      </c>
      <c r="Y47" s="45" t="s">
        <v>105</v>
      </c>
      <c r="Z47" s="45" t="s">
        <v>105</v>
      </c>
      <c r="AA47" s="45" t="s">
        <v>105</v>
      </c>
      <c r="AB47" s="45" t="s">
        <v>105</v>
      </c>
      <c r="AC47" s="45" t="s">
        <v>105</v>
      </c>
      <c r="AD47" s="45" t="s">
        <v>105</v>
      </c>
      <c r="AE47" s="62" t="s">
        <v>106</v>
      </c>
      <c r="AF47" s="46" t="s">
        <v>88</v>
      </c>
      <c r="AG47" s="45" t="s">
        <v>105</v>
      </c>
      <c r="AH47" s="62" t="s">
        <v>88</v>
      </c>
      <c r="AI47" s="64" t="s">
        <v>72</v>
      </c>
      <c r="AJ47" s="83" t="s">
        <v>1076</v>
      </c>
      <c r="AK47" s="83" t="s">
        <v>1078</v>
      </c>
      <c r="AL47" s="83" t="s">
        <v>1079</v>
      </c>
      <c r="AM47" s="83" t="s">
        <v>1080</v>
      </c>
      <c r="AN47" s="83" t="s">
        <v>407</v>
      </c>
      <c r="AO47" s="84" t="s">
        <v>1081</v>
      </c>
      <c r="AP47" s="43" t="s">
        <v>284</v>
      </c>
      <c r="AQ47" s="48">
        <v>46245.0</v>
      </c>
      <c r="AR47" s="49" t="s">
        <v>553</v>
      </c>
      <c r="AS47" s="43" t="s">
        <v>193</v>
      </c>
      <c r="AT47" s="43" t="s">
        <v>1090</v>
      </c>
      <c r="AU47" s="83" t="s">
        <v>197</v>
      </c>
    </row>
    <row r="48" ht="15.75" hidden="1" customHeight="1">
      <c r="A48" s="12">
        <v>2.0</v>
      </c>
      <c r="B48" s="12"/>
      <c r="C48" s="13" t="s">
        <v>953</v>
      </c>
      <c r="D48" s="13"/>
      <c r="E48" s="12" t="s">
        <v>88</v>
      </c>
      <c r="F48" s="12">
        <v>2.0</v>
      </c>
      <c r="G48" s="12">
        <v>1000.0</v>
      </c>
      <c r="H48" s="12">
        <v>20.4</v>
      </c>
      <c r="I48" s="12" t="s">
        <v>128</v>
      </c>
      <c r="J48" s="13"/>
      <c r="K48" s="13" t="s">
        <v>534</v>
      </c>
      <c r="L48" s="13" t="s">
        <v>812</v>
      </c>
      <c r="M48" s="13" t="s">
        <v>95</v>
      </c>
      <c r="N48" s="77" t="s">
        <v>1070</v>
      </c>
      <c r="O48" s="77" t="s">
        <v>407</v>
      </c>
      <c r="P48" s="78">
        <v>28.351</v>
      </c>
      <c r="Q48" s="78">
        <v>76.94</v>
      </c>
      <c r="R48" s="78">
        <v>2005.0</v>
      </c>
      <c r="S48" s="77" t="s">
        <v>104</v>
      </c>
      <c r="T48" s="79" t="s">
        <v>105</v>
      </c>
      <c r="U48" s="14" t="s">
        <v>105</v>
      </c>
      <c r="V48" s="14" t="s">
        <v>105</v>
      </c>
      <c r="W48" s="14" t="s">
        <v>105</v>
      </c>
      <c r="X48" s="15" t="s">
        <v>105</v>
      </c>
      <c r="Y48" s="14" t="s">
        <v>105</v>
      </c>
      <c r="Z48" s="15">
        <v>0.2</v>
      </c>
      <c r="AA48" s="14" t="s">
        <v>105</v>
      </c>
      <c r="AB48" s="14" t="s">
        <v>105</v>
      </c>
      <c r="AC48" s="14" t="s">
        <v>105</v>
      </c>
      <c r="AD48" s="14" t="s">
        <v>105</v>
      </c>
      <c r="AE48" s="17" t="s">
        <v>106</v>
      </c>
      <c r="AF48" s="34" t="s">
        <v>88</v>
      </c>
      <c r="AG48" s="14" t="s">
        <v>105</v>
      </c>
      <c r="AH48" s="80" t="s">
        <v>72</v>
      </c>
      <c r="AI48" s="80" t="s">
        <v>72</v>
      </c>
      <c r="AJ48" s="14" t="s">
        <v>105</v>
      </c>
      <c r="AK48" s="14" t="s">
        <v>702</v>
      </c>
      <c r="AL48" s="14" t="s">
        <v>1096</v>
      </c>
      <c r="AM48" s="69" t="s">
        <v>1097</v>
      </c>
      <c r="AN48" s="14" t="s">
        <v>1070</v>
      </c>
      <c r="AO48" s="22" t="s">
        <v>1098</v>
      </c>
      <c r="AP48" s="14" t="s">
        <v>232</v>
      </c>
      <c r="AQ48" s="37">
        <v>46277.0</v>
      </c>
      <c r="AR48" s="24" t="s">
        <v>190</v>
      </c>
      <c r="AS48" s="25" t="s">
        <v>193</v>
      </c>
      <c r="AT48" s="25" t="s">
        <v>1105</v>
      </c>
      <c r="AU48" s="14" t="s">
        <v>197</v>
      </c>
    </row>
    <row r="49" ht="18.0" hidden="1" customHeight="1">
      <c r="A49" s="12">
        <v>2.0</v>
      </c>
      <c r="B49" s="12"/>
      <c r="C49" s="13" t="s">
        <v>963</v>
      </c>
      <c r="D49" s="13"/>
      <c r="E49" s="12" t="s">
        <v>88</v>
      </c>
      <c r="F49" s="12">
        <v>2.0</v>
      </c>
      <c r="G49" s="12">
        <v>1000.0</v>
      </c>
      <c r="H49" s="12">
        <v>12.4</v>
      </c>
      <c r="I49" s="12" t="s">
        <v>91</v>
      </c>
      <c r="J49" s="13"/>
      <c r="K49" s="13" t="s">
        <v>248</v>
      </c>
      <c r="L49" s="13" t="s">
        <v>593</v>
      </c>
      <c r="M49" s="13" t="s">
        <v>95</v>
      </c>
      <c r="N49" s="77" t="s">
        <v>206</v>
      </c>
      <c r="O49" s="77" t="s">
        <v>209</v>
      </c>
      <c r="P49" s="78">
        <v>23.0225</v>
      </c>
      <c r="Q49" s="78">
        <v>72.5714</v>
      </c>
      <c r="R49" s="78">
        <v>2015.0</v>
      </c>
      <c r="S49" s="77" t="s">
        <v>521</v>
      </c>
      <c r="T49" s="79">
        <v>1000.0</v>
      </c>
      <c r="U49" s="14" t="s">
        <v>105</v>
      </c>
      <c r="V49" s="14" t="s">
        <v>105</v>
      </c>
      <c r="W49" s="14" t="s">
        <v>105</v>
      </c>
      <c r="X49" s="14" t="s">
        <v>105</v>
      </c>
      <c r="Y49" s="14" t="s">
        <v>105</v>
      </c>
      <c r="Z49" s="14" t="s">
        <v>105</v>
      </c>
      <c r="AA49" s="14" t="s">
        <v>105</v>
      </c>
      <c r="AB49" s="14" t="s">
        <v>105</v>
      </c>
      <c r="AC49" s="14" t="s">
        <v>105</v>
      </c>
      <c r="AD49" s="14" t="s">
        <v>105</v>
      </c>
      <c r="AE49" s="17" t="s">
        <v>1110</v>
      </c>
      <c r="AF49" s="34" t="s">
        <v>88</v>
      </c>
      <c r="AG49" s="14" t="s">
        <v>105</v>
      </c>
      <c r="AH49" s="17" t="s">
        <v>72</v>
      </c>
      <c r="AI49" s="80" t="s">
        <v>72</v>
      </c>
      <c r="AJ49" s="14" t="s">
        <v>1112</v>
      </c>
      <c r="AK49" s="14" t="s">
        <v>105</v>
      </c>
      <c r="AL49" s="14" t="s">
        <v>1113</v>
      </c>
      <c r="AM49" s="14" t="s">
        <v>1114</v>
      </c>
      <c r="AN49" s="14" t="s">
        <v>206</v>
      </c>
      <c r="AO49" s="85" t="s">
        <v>1115</v>
      </c>
      <c r="AP49" s="25" t="s">
        <v>284</v>
      </c>
      <c r="AQ49" s="37">
        <v>46277.0</v>
      </c>
      <c r="AR49" s="24" t="s">
        <v>190</v>
      </c>
      <c r="AS49" s="25" t="s">
        <v>193</v>
      </c>
      <c r="AT49" s="25" t="s">
        <v>1123</v>
      </c>
      <c r="AU49" s="69" t="s">
        <v>1124</v>
      </c>
    </row>
    <row r="50" ht="20.25" hidden="1" customHeight="1">
      <c r="A50" s="12">
        <v>2.0</v>
      </c>
      <c r="B50" s="12"/>
      <c r="C50" s="13" t="s">
        <v>972</v>
      </c>
      <c r="D50" s="13"/>
      <c r="E50" s="12" t="s">
        <v>88</v>
      </c>
      <c r="F50" s="12">
        <v>2.0</v>
      </c>
      <c r="G50" s="12">
        <v>1000.0</v>
      </c>
      <c r="H50" s="12">
        <v>13.0</v>
      </c>
      <c r="I50" s="12" t="s">
        <v>91</v>
      </c>
      <c r="J50" s="13"/>
      <c r="K50" s="13" t="s">
        <v>534</v>
      </c>
      <c r="L50" s="13" t="s">
        <v>593</v>
      </c>
      <c r="M50" s="13" t="s">
        <v>72</v>
      </c>
      <c r="N50" s="77" t="s">
        <v>1128</v>
      </c>
      <c r="O50" s="77" t="s">
        <v>637</v>
      </c>
      <c r="P50" s="78">
        <v>25.3</v>
      </c>
      <c r="Q50" s="78">
        <v>82.4</v>
      </c>
      <c r="R50" s="78">
        <v>1920.0</v>
      </c>
      <c r="S50" s="77" t="s">
        <v>104</v>
      </c>
      <c r="T50" s="79" t="s">
        <v>105</v>
      </c>
      <c r="U50" s="14" t="s">
        <v>105</v>
      </c>
      <c r="V50" s="14" t="s">
        <v>105</v>
      </c>
      <c r="W50" s="14" t="s">
        <v>105</v>
      </c>
      <c r="X50" s="15" t="s">
        <v>105</v>
      </c>
      <c r="Y50" s="14" t="s">
        <v>105</v>
      </c>
      <c r="Z50" s="14" t="s">
        <v>105</v>
      </c>
      <c r="AA50" s="14" t="s">
        <v>105</v>
      </c>
      <c r="AB50" s="14" t="s">
        <v>105</v>
      </c>
      <c r="AC50" s="14" t="s">
        <v>105</v>
      </c>
      <c r="AD50" s="14" t="s">
        <v>105</v>
      </c>
      <c r="AE50" s="17" t="s">
        <v>106</v>
      </c>
      <c r="AF50" s="34" t="s">
        <v>88</v>
      </c>
      <c r="AG50" s="14" t="s">
        <v>105</v>
      </c>
      <c r="AH50" s="17" t="s">
        <v>88</v>
      </c>
      <c r="AI50" s="18" t="s">
        <v>88</v>
      </c>
      <c r="AJ50" s="14" t="s">
        <v>105</v>
      </c>
      <c r="AK50" s="14" t="s">
        <v>105</v>
      </c>
      <c r="AL50" s="14" t="s">
        <v>1132</v>
      </c>
      <c r="AM50" s="14" t="s">
        <v>1133</v>
      </c>
      <c r="AN50" s="14" t="s">
        <v>1134</v>
      </c>
      <c r="AO50" s="22" t="s">
        <v>1136</v>
      </c>
      <c r="AP50" s="25" t="s">
        <v>284</v>
      </c>
      <c r="AQ50" s="23">
        <v>46277.0</v>
      </c>
      <c r="AR50" s="24" t="s">
        <v>190</v>
      </c>
      <c r="AS50" s="25" t="s">
        <v>193</v>
      </c>
      <c r="AT50" s="25" t="s">
        <v>1146</v>
      </c>
      <c r="AU50" s="69" t="s">
        <v>1147</v>
      </c>
    </row>
    <row r="51" ht="22.5" hidden="1" customHeight="1">
      <c r="A51" s="12">
        <v>2.0</v>
      </c>
      <c r="B51" s="12"/>
      <c r="C51" s="13" t="s">
        <v>982</v>
      </c>
      <c r="D51" s="13"/>
      <c r="E51" s="12" t="s">
        <v>88</v>
      </c>
      <c r="F51" s="12">
        <v>2.0</v>
      </c>
      <c r="G51" s="12">
        <v>1000.0</v>
      </c>
      <c r="H51" s="12">
        <v>24.8</v>
      </c>
      <c r="I51" s="12" t="s">
        <v>145</v>
      </c>
      <c r="J51" s="13"/>
      <c r="K51" s="13" t="s">
        <v>534</v>
      </c>
      <c r="L51" s="13" t="s">
        <v>118</v>
      </c>
      <c r="M51" s="13" t="s">
        <v>95</v>
      </c>
      <c r="N51" s="77" t="s">
        <v>1149</v>
      </c>
      <c r="O51" s="77" t="s">
        <v>440</v>
      </c>
      <c r="P51" s="78">
        <v>28.524</v>
      </c>
      <c r="Q51" s="78">
        <v>77.156</v>
      </c>
      <c r="R51" s="78">
        <v>1987.0</v>
      </c>
      <c r="S51" s="77" t="s">
        <v>521</v>
      </c>
      <c r="T51" s="78">
        <v>508.0</v>
      </c>
      <c r="U51" s="14" t="s">
        <v>105</v>
      </c>
      <c r="V51" s="14" t="s">
        <v>105</v>
      </c>
      <c r="W51" s="14" t="s">
        <v>105</v>
      </c>
      <c r="X51" s="14" t="s">
        <v>105</v>
      </c>
      <c r="Y51" s="14" t="s">
        <v>105</v>
      </c>
      <c r="Z51" s="14" t="s">
        <v>105</v>
      </c>
      <c r="AA51" s="14" t="s">
        <v>105</v>
      </c>
      <c r="AB51" s="14" t="s">
        <v>105</v>
      </c>
      <c r="AC51" s="14" t="s">
        <v>105</v>
      </c>
      <c r="AD51" s="14" t="s">
        <v>105</v>
      </c>
      <c r="AE51" s="17" t="s">
        <v>106</v>
      </c>
      <c r="AF51" s="34" t="s">
        <v>88</v>
      </c>
      <c r="AG51" s="14" t="s">
        <v>105</v>
      </c>
      <c r="AH51" s="17" t="s">
        <v>88</v>
      </c>
      <c r="AI51" s="18" t="s">
        <v>88</v>
      </c>
      <c r="AJ51" s="14" t="s">
        <v>1153</v>
      </c>
      <c r="AK51" s="14" t="s">
        <v>105</v>
      </c>
      <c r="AL51" s="14" t="s">
        <v>1154</v>
      </c>
      <c r="AM51" s="14" t="s">
        <v>1155</v>
      </c>
      <c r="AN51" s="14" t="s">
        <v>1156</v>
      </c>
      <c r="AO51" s="14" t="s">
        <v>1158</v>
      </c>
      <c r="AP51" s="14" t="s">
        <v>429</v>
      </c>
      <c r="AQ51" s="37">
        <v>46277.0</v>
      </c>
      <c r="AR51" s="24" t="s">
        <v>190</v>
      </c>
      <c r="AS51" s="25" t="s">
        <v>193</v>
      </c>
      <c r="AT51" s="25" t="s">
        <v>1162</v>
      </c>
      <c r="AU51" s="14" t="s">
        <v>1163</v>
      </c>
    </row>
    <row r="52" ht="22.5" hidden="1" customHeight="1">
      <c r="A52" s="12">
        <v>2.0</v>
      </c>
      <c r="B52" s="12"/>
      <c r="C52" s="13" t="s">
        <v>991</v>
      </c>
      <c r="D52" s="13"/>
      <c r="E52" s="12" t="s">
        <v>88</v>
      </c>
      <c r="F52" s="12">
        <v>1.0</v>
      </c>
      <c r="G52" s="12">
        <v>750.0</v>
      </c>
      <c r="H52" s="12"/>
      <c r="I52" s="12" t="s">
        <v>128</v>
      </c>
      <c r="J52" s="13"/>
      <c r="K52" s="13" t="s">
        <v>94</v>
      </c>
      <c r="L52" s="13"/>
      <c r="M52" s="13" t="s">
        <v>95</v>
      </c>
      <c r="N52" s="77" t="s">
        <v>774</v>
      </c>
      <c r="O52" s="77" t="s">
        <v>407</v>
      </c>
      <c r="P52" s="78">
        <v>29.3909</v>
      </c>
      <c r="Q52" s="78">
        <v>76.9635</v>
      </c>
      <c r="R52" s="78">
        <v>2003.0</v>
      </c>
      <c r="S52" s="77" t="s">
        <v>104</v>
      </c>
      <c r="T52" s="79">
        <v>1000.0</v>
      </c>
      <c r="U52" s="14" t="s">
        <v>105</v>
      </c>
      <c r="V52" s="14" t="s">
        <v>105</v>
      </c>
      <c r="W52" s="14" t="s">
        <v>105</v>
      </c>
      <c r="X52" s="14" t="s">
        <v>105</v>
      </c>
      <c r="Y52" s="14" t="s">
        <v>105</v>
      </c>
      <c r="Z52" s="14" t="s">
        <v>105</v>
      </c>
      <c r="AA52" s="14" t="s">
        <v>105</v>
      </c>
      <c r="AB52" s="14" t="s">
        <v>105</v>
      </c>
      <c r="AC52" s="14" t="s">
        <v>105</v>
      </c>
      <c r="AD52" s="14" t="s">
        <v>105</v>
      </c>
      <c r="AE52" s="17" t="s">
        <v>106</v>
      </c>
      <c r="AF52" s="34" t="s">
        <v>88</v>
      </c>
      <c r="AG52" s="14" t="s">
        <v>105</v>
      </c>
      <c r="AH52" s="17" t="s">
        <v>88</v>
      </c>
      <c r="AI52" s="80" t="s">
        <v>88</v>
      </c>
      <c r="AJ52" s="14" t="s">
        <v>1168</v>
      </c>
      <c r="AK52" s="14" t="s">
        <v>702</v>
      </c>
      <c r="AL52" s="14" t="s">
        <v>1170</v>
      </c>
      <c r="AM52" s="14" t="s">
        <v>1172</v>
      </c>
      <c r="AN52" s="14" t="s">
        <v>774</v>
      </c>
      <c r="AO52" s="22" t="s">
        <v>1173</v>
      </c>
      <c r="AP52" s="25" t="s">
        <v>284</v>
      </c>
      <c r="AQ52" s="37">
        <v>46277.0</v>
      </c>
      <c r="AR52" s="24" t="s">
        <v>190</v>
      </c>
      <c r="AS52" s="25" t="s">
        <v>193</v>
      </c>
      <c r="AT52" s="25" t="s">
        <v>1177</v>
      </c>
      <c r="AU52" s="77" t="s">
        <v>197</v>
      </c>
    </row>
    <row r="53" ht="20.25" hidden="1" customHeight="1">
      <c r="A53" s="12">
        <v>2.0</v>
      </c>
      <c r="B53" s="12"/>
      <c r="C53" s="13" t="s">
        <v>1176</v>
      </c>
      <c r="D53" s="13"/>
      <c r="E53" s="12" t="s">
        <v>88</v>
      </c>
      <c r="F53" s="12">
        <v>1.0</v>
      </c>
      <c r="G53" s="12">
        <v>250.0</v>
      </c>
      <c r="H53" s="12"/>
      <c r="I53" s="12" t="s">
        <v>91</v>
      </c>
      <c r="J53" s="13"/>
      <c r="K53" s="13" t="s">
        <v>94</v>
      </c>
      <c r="L53" s="13"/>
      <c r="M53" s="12" t="s">
        <v>95</v>
      </c>
      <c r="N53" s="14" t="s">
        <v>1180</v>
      </c>
      <c r="O53" s="14" t="s">
        <v>100</v>
      </c>
      <c r="P53" s="15">
        <v>12.9271</v>
      </c>
      <c r="Q53" s="15">
        <v>79.3331</v>
      </c>
      <c r="R53" s="15">
        <v>1988.0</v>
      </c>
      <c r="S53" s="14" t="s">
        <v>1182</v>
      </c>
      <c r="T53" s="15" t="s">
        <v>105</v>
      </c>
      <c r="U53" s="14" t="s">
        <v>105</v>
      </c>
      <c r="V53" s="14" t="s">
        <v>105</v>
      </c>
      <c r="W53" s="14" t="s">
        <v>105</v>
      </c>
      <c r="X53" s="14" t="s">
        <v>105</v>
      </c>
      <c r="Y53" s="14" t="s">
        <v>105</v>
      </c>
      <c r="Z53" s="15" t="s">
        <v>105</v>
      </c>
      <c r="AA53" s="14" t="s">
        <v>105</v>
      </c>
      <c r="AB53" s="14" t="s">
        <v>105</v>
      </c>
      <c r="AC53" s="14" t="s">
        <v>105</v>
      </c>
      <c r="AD53" s="14" t="s">
        <v>105</v>
      </c>
      <c r="AE53" s="14" t="s">
        <v>105</v>
      </c>
      <c r="AF53" s="14" t="s">
        <v>105</v>
      </c>
      <c r="AG53" s="14" t="s">
        <v>105</v>
      </c>
      <c r="AH53" s="34" t="s">
        <v>88</v>
      </c>
      <c r="AI53" s="34" t="s">
        <v>88</v>
      </c>
      <c r="AJ53" s="14" t="s">
        <v>1186</v>
      </c>
      <c r="AK53" s="14" t="s">
        <v>105</v>
      </c>
      <c r="AL53" s="14" t="s">
        <v>1188</v>
      </c>
      <c r="AM53" s="14" t="s">
        <v>1189</v>
      </c>
      <c r="AN53" s="14" t="s">
        <v>1190</v>
      </c>
      <c r="AO53" s="72" t="s">
        <v>1191</v>
      </c>
      <c r="AP53" s="25" t="s">
        <v>284</v>
      </c>
      <c r="AQ53" s="23">
        <v>46277.0</v>
      </c>
      <c r="AR53" s="24" t="s">
        <v>190</v>
      </c>
      <c r="AS53" s="25" t="s">
        <v>193</v>
      </c>
      <c r="AT53" s="86" t="s">
        <v>1202</v>
      </c>
      <c r="AU53" s="69" t="s">
        <v>1205</v>
      </c>
    </row>
    <row r="54" ht="20.25" hidden="1" customHeight="1">
      <c r="A54" s="12">
        <v>2.0</v>
      </c>
      <c r="B54" s="12"/>
      <c r="C54" s="13" t="s">
        <v>1001</v>
      </c>
      <c r="D54" s="13"/>
      <c r="E54" s="12" t="s">
        <v>88</v>
      </c>
      <c r="F54" s="12">
        <v>1.0</v>
      </c>
      <c r="G54" s="12">
        <v>750.0</v>
      </c>
      <c r="H54" s="12">
        <v>44.9</v>
      </c>
      <c r="I54" s="12" t="s">
        <v>92</v>
      </c>
      <c r="J54" s="13" t="s">
        <v>1002</v>
      </c>
      <c r="K54" s="13" t="s">
        <v>248</v>
      </c>
      <c r="L54" s="13" t="s">
        <v>593</v>
      </c>
      <c r="M54" s="13" t="s">
        <v>95</v>
      </c>
      <c r="N54" s="77" t="s">
        <v>492</v>
      </c>
      <c r="O54" s="77" t="s">
        <v>493</v>
      </c>
      <c r="P54" s="78">
        <v>30.901</v>
      </c>
      <c r="Q54" s="78">
        <v>75.8573</v>
      </c>
      <c r="R54" s="78">
        <v>2001.0</v>
      </c>
      <c r="S54" s="77" t="s">
        <v>104</v>
      </c>
      <c r="T54" s="87">
        <v>2300.0</v>
      </c>
      <c r="U54" s="14" t="s">
        <v>105</v>
      </c>
      <c r="V54" s="14" t="s">
        <v>105</v>
      </c>
      <c r="W54" s="14" t="s">
        <v>105</v>
      </c>
      <c r="X54" s="14" t="s">
        <v>105</v>
      </c>
      <c r="Y54" s="14" t="s">
        <v>105</v>
      </c>
      <c r="Z54" s="14" t="s">
        <v>105</v>
      </c>
      <c r="AA54" s="14" t="s">
        <v>105</v>
      </c>
      <c r="AB54" s="14" t="s">
        <v>105</v>
      </c>
      <c r="AC54" s="14" t="s">
        <v>105</v>
      </c>
      <c r="AD54" s="14" t="s">
        <v>105</v>
      </c>
      <c r="AE54" s="17" t="s">
        <v>106</v>
      </c>
      <c r="AF54" s="34" t="s">
        <v>88</v>
      </c>
      <c r="AG54" s="14" t="s">
        <v>105</v>
      </c>
      <c r="AH54" s="17" t="s">
        <v>88</v>
      </c>
      <c r="AI54" s="80" t="s">
        <v>88</v>
      </c>
      <c r="AJ54" s="14" t="s">
        <v>1211</v>
      </c>
      <c r="AK54" s="14" t="s">
        <v>105</v>
      </c>
      <c r="AL54" s="14" t="s">
        <v>1212</v>
      </c>
      <c r="AM54" s="14" t="s">
        <v>1170</v>
      </c>
      <c r="AN54" s="14" t="s">
        <v>493</v>
      </c>
      <c r="AO54" s="22" t="s">
        <v>1213</v>
      </c>
      <c r="AP54" s="25" t="s">
        <v>284</v>
      </c>
      <c r="AQ54" s="23">
        <v>46277.0</v>
      </c>
      <c r="AR54" s="24" t="s">
        <v>190</v>
      </c>
      <c r="AS54" s="25" t="s">
        <v>193</v>
      </c>
      <c r="AT54" s="25" t="s">
        <v>1220</v>
      </c>
      <c r="AU54" s="77" t="s">
        <v>197</v>
      </c>
    </row>
    <row r="55" ht="23.25" hidden="1" customHeight="1">
      <c r="A55" s="40">
        <v>2.0</v>
      </c>
      <c r="B55" s="40"/>
      <c r="C55" s="41" t="s">
        <v>1222</v>
      </c>
      <c r="D55" s="42"/>
      <c r="E55" s="40" t="s">
        <v>88</v>
      </c>
      <c r="F55" s="40">
        <v>1.0</v>
      </c>
      <c r="G55" s="40">
        <v>250.0</v>
      </c>
      <c r="H55" s="40"/>
      <c r="I55" s="40" t="s">
        <v>145</v>
      </c>
      <c r="J55" s="42"/>
      <c r="K55" s="42" t="s">
        <v>156</v>
      </c>
      <c r="L55" s="42" t="s">
        <v>812</v>
      </c>
      <c r="M55" s="40" t="s">
        <v>95</v>
      </c>
      <c r="N55" s="88" t="s">
        <v>575</v>
      </c>
      <c r="O55" s="89" t="s">
        <v>100</v>
      </c>
      <c r="P55" s="44">
        <v>13.0827</v>
      </c>
      <c r="Q55" s="44">
        <v>80.2707</v>
      </c>
      <c r="R55" s="90">
        <v>2019.0</v>
      </c>
      <c r="S55" s="59" t="s">
        <v>1227</v>
      </c>
      <c r="T55" s="90">
        <v>1400.0</v>
      </c>
      <c r="U55" s="45" t="s">
        <v>105</v>
      </c>
      <c r="V55" s="45" t="s">
        <v>105</v>
      </c>
      <c r="W55" s="45" t="s">
        <v>105</v>
      </c>
      <c r="X55" s="45" t="s">
        <v>105</v>
      </c>
      <c r="Y55" s="45" t="s">
        <v>105</v>
      </c>
      <c r="Z55" s="45" t="s">
        <v>105</v>
      </c>
      <c r="AA55" s="45" t="s">
        <v>105</v>
      </c>
      <c r="AB55" s="45" t="s">
        <v>105</v>
      </c>
      <c r="AC55" s="45" t="s">
        <v>105</v>
      </c>
      <c r="AD55" s="45" t="s">
        <v>105</v>
      </c>
      <c r="AE55" s="45" t="s">
        <v>105</v>
      </c>
      <c r="AF55" s="45" t="s">
        <v>105</v>
      </c>
      <c r="AG55" s="45" t="s">
        <v>105</v>
      </c>
      <c r="AH55" s="62" t="s">
        <v>88</v>
      </c>
      <c r="AI55" s="91" t="s">
        <v>88</v>
      </c>
      <c r="AJ55" s="45" t="s">
        <v>105</v>
      </c>
      <c r="AK55" s="45" t="s">
        <v>105</v>
      </c>
      <c r="AL55" s="45" t="s">
        <v>105</v>
      </c>
      <c r="AM55" s="45" t="s">
        <v>105</v>
      </c>
      <c r="AN55" s="45" t="s">
        <v>105</v>
      </c>
      <c r="AO55" s="92" t="s">
        <v>1232</v>
      </c>
      <c r="AP55" s="43" t="s">
        <v>284</v>
      </c>
      <c r="AQ55" s="55">
        <v>46267.0</v>
      </c>
      <c r="AR55" s="49" t="s">
        <v>355</v>
      </c>
      <c r="AS55" s="43" t="s">
        <v>193</v>
      </c>
      <c r="AT55" s="93" t="s">
        <v>1242</v>
      </c>
      <c r="AU55" s="89" t="s">
        <v>197</v>
      </c>
    </row>
    <row r="56" ht="21.75" hidden="1" customHeight="1">
      <c r="A56" s="12">
        <v>2.0</v>
      </c>
      <c r="B56" s="12"/>
      <c r="C56" s="13" t="s">
        <v>1135</v>
      </c>
      <c r="D56" s="13"/>
      <c r="E56" s="12" t="s">
        <v>88</v>
      </c>
      <c r="F56" s="12">
        <v>1.0</v>
      </c>
      <c r="G56" s="12">
        <v>250.0</v>
      </c>
      <c r="H56" s="12"/>
      <c r="I56" s="12" t="s">
        <v>92</v>
      </c>
      <c r="J56" s="13"/>
      <c r="K56" s="13" t="s">
        <v>156</v>
      </c>
      <c r="L56" s="13" t="s">
        <v>697</v>
      </c>
      <c r="M56" s="12" t="s">
        <v>95</v>
      </c>
      <c r="N56" s="14" t="s">
        <v>1245</v>
      </c>
      <c r="O56" s="14" t="s">
        <v>637</v>
      </c>
      <c r="P56" s="15">
        <v>28.5355</v>
      </c>
      <c r="Q56" s="15">
        <v>77.391</v>
      </c>
      <c r="R56" s="15">
        <v>1998.0</v>
      </c>
      <c r="S56" s="14" t="s">
        <v>664</v>
      </c>
      <c r="T56" s="15">
        <v>50.0</v>
      </c>
      <c r="U56" s="14" t="s">
        <v>105</v>
      </c>
      <c r="V56" s="14" t="s">
        <v>105</v>
      </c>
      <c r="W56" s="14" t="s">
        <v>105</v>
      </c>
      <c r="X56" s="14" t="s">
        <v>105</v>
      </c>
      <c r="Y56" s="14" t="s">
        <v>105</v>
      </c>
      <c r="Z56" s="14" t="s">
        <v>105</v>
      </c>
      <c r="AA56" s="14" t="s">
        <v>105</v>
      </c>
      <c r="AB56" s="14" t="s">
        <v>105</v>
      </c>
      <c r="AC56" s="14" t="s">
        <v>105</v>
      </c>
      <c r="AD56" s="14" t="s">
        <v>105</v>
      </c>
      <c r="AE56" s="14" t="s">
        <v>105</v>
      </c>
      <c r="AF56" s="14" t="s">
        <v>105</v>
      </c>
      <c r="AG56" s="14" t="s">
        <v>105</v>
      </c>
      <c r="AH56" s="34" t="s">
        <v>88</v>
      </c>
      <c r="AI56" s="34" t="s">
        <v>88</v>
      </c>
      <c r="AJ56" s="14" t="s">
        <v>105</v>
      </c>
      <c r="AK56" s="14" t="s">
        <v>105</v>
      </c>
      <c r="AL56" s="14" t="s">
        <v>1253</v>
      </c>
      <c r="AM56" s="14" t="s">
        <v>1254</v>
      </c>
      <c r="AN56" s="14" t="s">
        <v>1255</v>
      </c>
      <c r="AO56" s="72" t="s">
        <v>1258</v>
      </c>
      <c r="AP56" s="25" t="s">
        <v>284</v>
      </c>
      <c r="AQ56" s="37">
        <v>46277.0</v>
      </c>
      <c r="AR56" s="24" t="s">
        <v>190</v>
      </c>
      <c r="AS56" s="25" t="s">
        <v>193</v>
      </c>
      <c r="AT56" s="25" t="s">
        <v>1269</v>
      </c>
      <c r="AU56" s="69" t="s">
        <v>1270</v>
      </c>
    </row>
    <row r="57" ht="23.25" hidden="1" customHeight="1">
      <c r="A57" s="12">
        <v>2.0</v>
      </c>
      <c r="B57" s="12"/>
      <c r="C57" s="13" t="s">
        <v>1016</v>
      </c>
      <c r="D57" s="13"/>
      <c r="E57" s="12" t="s">
        <v>88</v>
      </c>
      <c r="F57" s="12">
        <v>1.0</v>
      </c>
      <c r="G57" s="12">
        <v>750.0</v>
      </c>
      <c r="H57" s="12"/>
      <c r="I57" s="12" t="s">
        <v>92</v>
      </c>
      <c r="J57" s="13"/>
      <c r="K57" s="13" t="s">
        <v>94</v>
      </c>
      <c r="L57" s="13"/>
      <c r="M57" s="13" t="s">
        <v>95</v>
      </c>
      <c r="N57" s="14" t="s">
        <v>458</v>
      </c>
      <c r="O57" s="14" t="s">
        <v>637</v>
      </c>
      <c r="P57" s="15">
        <v>28.5355</v>
      </c>
      <c r="Q57" s="15">
        <v>77.391</v>
      </c>
      <c r="R57" s="15">
        <v>2016.0</v>
      </c>
      <c r="S57" s="14" t="s">
        <v>104</v>
      </c>
      <c r="T57" s="79">
        <v>1000.0</v>
      </c>
      <c r="U57" s="14" t="s">
        <v>105</v>
      </c>
      <c r="V57" s="14" t="s">
        <v>105</v>
      </c>
      <c r="W57" s="14" t="s">
        <v>105</v>
      </c>
      <c r="X57" s="14" t="s">
        <v>105</v>
      </c>
      <c r="Y57" s="14" t="s">
        <v>105</v>
      </c>
      <c r="Z57" s="14" t="s">
        <v>105</v>
      </c>
      <c r="AA57" s="14" t="s">
        <v>105</v>
      </c>
      <c r="AB57" s="14" t="s">
        <v>105</v>
      </c>
      <c r="AC57" s="14" t="s">
        <v>105</v>
      </c>
      <c r="AD57" s="14" t="s">
        <v>105</v>
      </c>
      <c r="AE57" s="17" t="s">
        <v>106</v>
      </c>
      <c r="AF57" s="17" t="s">
        <v>88</v>
      </c>
      <c r="AG57" s="14" t="s">
        <v>105</v>
      </c>
      <c r="AH57" s="17" t="s">
        <v>72</v>
      </c>
      <c r="AI57" s="18" t="s">
        <v>88</v>
      </c>
      <c r="AJ57" s="14" t="s">
        <v>702</v>
      </c>
      <c r="AK57" s="14" t="s">
        <v>1275</v>
      </c>
      <c r="AL57" s="14" t="s">
        <v>1276</v>
      </c>
      <c r="AM57" s="14" t="s">
        <v>1080</v>
      </c>
      <c r="AN57" s="77" t="s">
        <v>1277</v>
      </c>
      <c r="AO57" s="22" t="s">
        <v>1278</v>
      </c>
      <c r="AP57" s="25" t="s">
        <v>284</v>
      </c>
      <c r="AQ57" s="23">
        <v>46277.0</v>
      </c>
      <c r="AR57" s="24" t="s">
        <v>190</v>
      </c>
      <c r="AS57" s="25" t="s">
        <v>193</v>
      </c>
      <c r="AT57" s="25" t="s">
        <v>1282</v>
      </c>
      <c r="AU57" s="69" t="s">
        <v>1283</v>
      </c>
    </row>
    <row r="58" ht="21.0" hidden="1" customHeight="1">
      <c r="A58" s="12">
        <v>2.0</v>
      </c>
      <c r="B58" s="12"/>
      <c r="C58" s="13" t="s">
        <v>1025</v>
      </c>
      <c r="D58" s="13"/>
      <c r="E58" s="12" t="s">
        <v>88</v>
      </c>
      <c r="F58" s="12">
        <v>1.0</v>
      </c>
      <c r="G58" s="12">
        <v>750.0</v>
      </c>
      <c r="H58" s="12"/>
      <c r="I58" s="12" t="s">
        <v>91</v>
      </c>
      <c r="J58" s="13"/>
      <c r="K58" s="13" t="s">
        <v>94</v>
      </c>
      <c r="L58" s="13"/>
      <c r="M58" s="13" t="s">
        <v>95</v>
      </c>
      <c r="N58" s="14" t="s">
        <v>492</v>
      </c>
      <c r="O58" s="14" t="s">
        <v>493</v>
      </c>
      <c r="P58" s="15">
        <v>30.901</v>
      </c>
      <c r="Q58" s="15">
        <v>75.8573</v>
      </c>
      <c r="R58" s="15">
        <v>1984.0</v>
      </c>
      <c r="S58" s="14" t="s">
        <v>104</v>
      </c>
      <c r="T58" s="78" t="s">
        <v>105</v>
      </c>
      <c r="U58" s="14" t="s">
        <v>105</v>
      </c>
      <c r="V58" s="14" t="s">
        <v>105</v>
      </c>
      <c r="W58" s="14" t="s">
        <v>105</v>
      </c>
      <c r="X58" s="14" t="s">
        <v>105</v>
      </c>
      <c r="Y58" s="14" t="s">
        <v>105</v>
      </c>
      <c r="Z58" s="15">
        <v>11.6</v>
      </c>
      <c r="AA58" s="15" t="s">
        <v>105</v>
      </c>
      <c r="AB58" s="14" t="s">
        <v>105</v>
      </c>
      <c r="AC58" s="14" t="s">
        <v>105</v>
      </c>
      <c r="AD58" s="14" t="s">
        <v>105</v>
      </c>
      <c r="AE58" s="14" t="s">
        <v>105</v>
      </c>
      <c r="AF58" s="14" t="s">
        <v>105</v>
      </c>
      <c r="AG58" s="14" t="s">
        <v>105</v>
      </c>
      <c r="AH58" s="17" t="s">
        <v>88</v>
      </c>
      <c r="AI58" s="18" t="s">
        <v>72</v>
      </c>
      <c r="AJ58" s="14" t="s">
        <v>105</v>
      </c>
      <c r="AK58" s="14" t="s">
        <v>105</v>
      </c>
      <c r="AL58" s="25" t="s">
        <v>302</v>
      </c>
      <c r="AM58" s="14" t="s">
        <v>105</v>
      </c>
      <c r="AN58" s="14" t="s">
        <v>105</v>
      </c>
      <c r="AO58" s="68" t="s">
        <v>1284</v>
      </c>
      <c r="AP58" s="25" t="s">
        <v>284</v>
      </c>
      <c r="AQ58" s="37">
        <v>46277.0</v>
      </c>
      <c r="AR58" s="24" t="s">
        <v>190</v>
      </c>
      <c r="AS58" s="25" t="s">
        <v>193</v>
      </c>
      <c r="AT58" s="25" t="s">
        <v>1285</v>
      </c>
      <c r="AU58" s="25" t="s">
        <v>1286</v>
      </c>
    </row>
    <row r="59" ht="21.0" hidden="1" customHeight="1">
      <c r="A59" s="12">
        <v>2.0</v>
      </c>
      <c r="B59" s="12"/>
      <c r="C59" s="13" t="s">
        <v>1028</v>
      </c>
      <c r="D59" s="13"/>
      <c r="E59" s="12" t="s">
        <v>88</v>
      </c>
      <c r="F59" s="12">
        <v>1.0</v>
      </c>
      <c r="G59" s="12">
        <v>750.0</v>
      </c>
      <c r="H59" s="12"/>
      <c r="I59" s="12" t="s">
        <v>91</v>
      </c>
      <c r="J59" s="13"/>
      <c r="K59" s="13" t="s">
        <v>94</v>
      </c>
      <c r="L59" s="13"/>
      <c r="M59" s="13" t="s">
        <v>95</v>
      </c>
      <c r="N59" s="14" t="s">
        <v>1287</v>
      </c>
      <c r="O59" s="14" t="s">
        <v>100</v>
      </c>
      <c r="P59" s="15">
        <v>11.6377</v>
      </c>
      <c r="Q59" s="15">
        <v>78.1693</v>
      </c>
      <c r="R59" s="15">
        <v>1991.0</v>
      </c>
      <c r="S59" s="14" t="s">
        <v>104</v>
      </c>
      <c r="T59" s="78" t="s">
        <v>105</v>
      </c>
      <c r="U59" s="14" t="s">
        <v>105</v>
      </c>
      <c r="V59" s="14" t="s">
        <v>105</v>
      </c>
      <c r="W59" s="14" t="s">
        <v>105</v>
      </c>
      <c r="X59" s="15" t="s">
        <v>105</v>
      </c>
      <c r="Y59" s="14" t="s">
        <v>105</v>
      </c>
      <c r="Z59" s="15" t="s">
        <v>105</v>
      </c>
      <c r="AA59" s="14" t="s">
        <v>105</v>
      </c>
      <c r="AB59" s="14" t="s">
        <v>105</v>
      </c>
      <c r="AC59" s="14" t="s">
        <v>105</v>
      </c>
      <c r="AD59" s="14" t="s">
        <v>105</v>
      </c>
      <c r="AE59" s="17" t="s">
        <v>106</v>
      </c>
      <c r="AF59" s="17" t="s">
        <v>88</v>
      </c>
      <c r="AG59" s="14" t="s">
        <v>105</v>
      </c>
      <c r="AH59" s="17" t="s">
        <v>72</v>
      </c>
      <c r="AI59" s="18" t="s">
        <v>72</v>
      </c>
      <c r="AJ59" s="14" t="s">
        <v>1288</v>
      </c>
      <c r="AK59" s="14" t="s">
        <v>105</v>
      </c>
      <c r="AL59" s="14" t="s">
        <v>1289</v>
      </c>
      <c r="AM59" s="14" t="s">
        <v>1290</v>
      </c>
      <c r="AN59" s="77" t="s">
        <v>1291</v>
      </c>
      <c r="AO59" s="94" t="s">
        <v>1292</v>
      </c>
      <c r="AP59" s="14" t="s">
        <v>176</v>
      </c>
      <c r="AQ59" s="37">
        <v>46277.0</v>
      </c>
      <c r="AR59" s="24" t="s">
        <v>190</v>
      </c>
      <c r="AS59" s="25" t="s">
        <v>193</v>
      </c>
      <c r="AT59" s="25" t="s">
        <v>1293</v>
      </c>
      <c r="AU59" s="25" t="s">
        <v>1294</v>
      </c>
    </row>
    <row r="60" ht="17.25" hidden="1" customHeight="1">
      <c r="A60" s="12">
        <v>2.0</v>
      </c>
      <c r="B60" s="12"/>
      <c r="C60" s="13" t="s">
        <v>1034</v>
      </c>
      <c r="D60" s="13"/>
      <c r="E60" s="12" t="s">
        <v>88</v>
      </c>
      <c r="F60" s="12">
        <v>1.0</v>
      </c>
      <c r="G60" s="12">
        <v>750.0</v>
      </c>
      <c r="H60" s="12">
        <v>30.7</v>
      </c>
      <c r="I60" s="12" t="s">
        <v>91</v>
      </c>
      <c r="J60" s="13"/>
      <c r="K60" s="13" t="s">
        <v>156</v>
      </c>
      <c r="L60" s="13" t="s">
        <v>1295</v>
      </c>
      <c r="M60" s="13" t="s">
        <v>95</v>
      </c>
      <c r="N60" s="14" t="s">
        <v>440</v>
      </c>
      <c r="O60" s="14" t="s">
        <v>440</v>
      </c>
      <c r="P60" s="15">
        <v>28.6139</v>
      </c>
      <c r="Q60" s="15">
        <v>77.209</v>
      </c>
      <c r="R60" s="15">
        <v>2016.0</v>
      </c>
      <c r="S60" s="14" t="s">
        <v>104</v>
      </c>
      <c r="T60" s="15">
        <v>3500.0</v>
      </c>
      <c r="U60" s="14" t="s">
        <v>105</v>
      </c>
      <c r="V60" s="14" t="s">
        <v>105</v>
      </c>
      <c r="W60" s="14">
        <v>431.07</v>
      </c>
      <c r="X60" s="14" t="s">
        <v>105</v>
      </c>
      <c r="Y60" s="14">
        <v>3.47722</v>
      </c>
      <c r="Z60" s="14">
        <v>0.1</v>
      </c>
      <c r="AA60" s="14">
        <v>9426.24</v>
      </c>
      <c r="AB60" s="14">
        <v>100.673</v>
      </c>
      <c r="AC60" s="14" t="s">
        <v>105</v>
      </c>
      <c r="AD60" s="14" t="s">
        <v>105</v>
      </c>
      <c r="AE60" s="17" t="s">
        <v>106</v>
      </c>
      <c r="AF60" s="17" t="s">
        <v>88</v>
      </c>
      <c r="AG60" s="14" t="s">
        <v>105</v>
      </c>
      <c r="AH60" s="17" t="s">
        <v>88</v>
      </c>
      <c r="AI60" s="18" t="s">
        <v>88</v>
      </c>
      <c r="AJ60" s="14" t="s">
        <v>105</v>
      </c>
      <c r="AK60" s="14" t="s">
        <v>105</v>
      </c>
      <c r="AL60" s="14" t="s">
        <v>1296</v>
      </c>
      <c r="AM60" s="14" t="s">
        <v>1080</v>
      </c>
      <c r="AN60" s="77" t="s">
        <v>1297</v>
      </c>
      <c r="AO60" s="94" t="s">
        <v>1298</v>
      </c>
      <c r="AP60" s="25" t="s">
        <v>486</v>
      </c>
      <c r="AQ60" s="23">
        <v>46277.0</v>
      </c>
      <c r="AR60" s="24" t="s">
        <v>190</v>
      </c>
      <c r="AS60" s="25" t="s">
        <v>193</v>
      </c>
      <c r="AT60" s="25" t="s">
        <v>1299</v>
      </c>
      <c r="AU60" s="25" t="s">
        <v>1300</v>
      </c>
    </row>
    <row r="61" ht="23.25" hidden="1" customHeight="1">
      <c r="A61" s="40">
        <v>2.0</v>
      </c>
      <c r="B61" s="40"/>
      <c r="C61" s="41" t="s">
        <v>1006</v>
      </c>
      <c r="D61" s="42"/>
      <c r="E61" s="40" t="s">
        <v>88</v>
      </c>
      <c r="F61" s="40">
        <v>1.0</v>
      </c>
      <c r="G61" s="40">
        <v>750.0</v>
      </c>
      <c r="H61" s="40"/>
      <c r="I61" s="40" t="s">
        <v>92</v>
      </c>
      <c r="J61" s="42"/>
      <c r="K61" s="42" t="s">
        <v>94</v>
      </c>
      <c r="L61" s="42"/>
      <c r="M61" s="42" t="s">
        <v>95</v>
      </c>
      <c r="N61" s="89" t="s">
        <v>833</v>
      </c>
      <c r="O61" s="89" t="s">
        <v>100</v>
      </c>
      <c r="P61" s="90">
        <v>11.0168</v>
      </c>
      <c r="Q61" s="90">
        <v>76.9558</v>
      </c>
      <c r="R61" s="82">
        <v>1989.0</v>
      </c>
      <c r="S61" s="43" t="s">
        <v>1301</v>
      </c>
      <c r="T61" s="82" t="s">
        <v>105</v>
      </c>
      <c r="U61" s="45" t="s">
        <v>105</v>
      </c>
      <c r="V61" s="45" t="s">
        <v>105</v>
      </c>
      <c r="W61" s="45" t="s">
        <v>105</v>
      </c>
      <c r="X61" s="45" t="s">
        <v>105</v>
      </c>
      <c r="Y61" s="45" t="s">
        <v>105</v>
      </c>
      <c r="Z61" s="45" t="s">
        <v>105</v>
      </c>
      <c r="AA61" s="95" t="s">
        <v>105</v>
      </c>
      <c r="AB61" s="95" t="s">
        <v>105</v>
      </c>
      <c r="AC61" s="45" t="s">
        <v>105</v>
      </c>
      <c r="AD61" s="45" t="s">
        <v>105</v>
      </c>
      <c r="AE61" s="45" t="s">
        <v>105</v>
      </c>
      <c r="AF61" s="45" t="s">
        <v>105</v>
      </c>
      <c r="AG61" s="45" t="s">
        <v>105</v>
      </c>
      <c r="AH61" s="62" t="s">
        <v>72</v>
      </c>
      <c r="AI61" s="64" t="s">
        <v>72</v>
      </c>
      <c r="AJ61" s="96">
        <v>1.0</v>
      </c>
      <c r="AK61" s="45" t="s">
        <v>105</v>
      </c>
      <c r="AL61" s="45" t="s">
        <v>1302</v>
      </c>
      <c r="AM61" s="45" t="s">
        <v>1303</v>
      </c>
      <c r="AN61" s="45" t="s">
        <v>1304</v>
      </c>
      <c r="AO61" s="47" t="s">
        <v>1305</v>
      </c>
      <c r="AP61" s="43" t="s">
        <v>486</v>
      </c>
      <c r="AQ61" s="55">
        <v>46267.0</v>
      </c>
      <c r="AR61" s="49" t="s">
        <v>355</v>
      </c>
      <c r="AS61" s="43" t="s">
        <v>193</v>
      </c>
      <c r="AT61" s="43" t="s">
        <v>1306</v>
      </c>
      <c r="AU61" s="43" t="s">
        <v>197</v>
      </c>
    </row>
    <row r="62" ht="15.0" hidden="1" customHeight="1">
      <c r="A62" s="12">
        <v>2.0</v>
      </c>
      <c r="B62" s="12"/>
      <c r="C62" s="13" t="s">
        <v>1044</v>
      </c>
      <c r="D62" s="13"/>
      <c r="E62" s="12" t="s">
        <v>88</v>
      </c>
      <c r="F62" s="12">
        <v>1.0</v>
      </c>
      <c r="G62" s="12">
        <v>750.0</v>
      </c>
      <c r="H62" s="12"/>
      <c r="I62" s="12" t="s">
        <v>145</v>
      </c>
      <c r="J62" s="13" t="s">
        <v>1045</v>
      </c>
      <c r="K62" s="13" t="s">
        <v>93</v>
      </c>
      <c r="L62" s="13" t="s">
        <v>742</v>
      </c>
      <c r="M62" s="13" t="s">
        <v>95</v>
      </c>
      <c r="N62" s="14" t="s">
        <v>492</v>
      </c>
      <c r="O62" s="14" t="s">
        <v>493</v>
      </c>
      <c r="P62" s="15">
        <v>30.901</v>
      </c>
      <c r="Q62" s="15">
        <v>75.8573</v>
      </c>
      <c r="R62" s="15">
        <v>1969.0</v>
      </c>
      <c r="S62" s="14" t="s">
        <v>104</v>
      </c>
      <c r="T62" s="15">
        <v>338.0</v>
      </c>
      <c r="U62" s="14" t="s">
        <v>105</v>
      </c>
      <c r="V62" s="14" t="s">
        <v>105</v>
      </c>
      <c r="W62" s="14" t="s">
        <v>105</v>
      </c>
      <c r="X62" s="14" t="s">
        <v>105</v>
      </c>
      <c r="Y62" s="14" t="s">
        <v>105</v>
      </c>
      <c r="Z62" s="14" t="s">
        <v>105</v>
      </c>
      <c r="AA62" s="14" t="s">
        <v>105</v>
      </c>
      <c r="AB62" s="14" t="s">
        <v>105</v>
      </c>
      <c r="AC62" s="14" t="s">
        <v>105</v>
      </c>
      <c r="AD62" s="14" t="s">
        <v>105</v>
      </c>
      <c r="AE62" s="17" t="s">
        <v>106</v>
      </c>
      <c r="AF62" s="17" t="s">
        <v>88</v>
      </c>
      <c r="AG62" s="14" t="s">
        <v>105</v>
      </c>
      <c r="AH62" s="17" t="s">
        <v>88</v>
      </c>
      <c r="AI62" s="18" t="s">
        <v>72</v>
      </c>
      <c r="AJ62" s="14" t="s">
        <v>105</v>
      </c>
      <c r="AK62" s="14" t="s">
        <v>105</v>
      </c>
      <c r="AL62" s="25" t="s">
        <v>302</v>
      </c>
      <c r="AM62" s="14" t="s">
        <v>105</v>
      </c>
      <c r="AN62" s="14" t="s">
        <v>105</v>
      </c>
      <c r="AO62" s="94" t="s">
        <v>1307</v>
      </c>
      <c r="AP62" s="14" t="s">
        <v>690</v>
      </c>
      <c r="AQ62" s="23">
        <v>46277.0</v>
      </c>
      <c r="AR62" s="24" t="s">
        <v>190</v>
      </c>
      <c r="AS62" s="25" t="s">
        <v>193</v>
      </c>
      <c r="AT62" s="25" t="s">
        <v>1308</v>
      </c>
      <c r="AU62" s="14" t="s">
        <v>197</v>
      </c>
    </row>
    <row r="63" ht="16.5" hidden="1" customHeight="1">
      <c r="A63" s="12">
        <v>2.0</v>
      </c>
      <c r="B63" s="12"/>
      <c r="C63" s="13" t="s">
        <v>1049</v>
      </c>
      <c r="D63" s="13"/>
      <c r="E63" s="12" t="s">
        <v>88</v>
      </c>
      <c r="F63" s="12">
        <v>1.0</v>
      </c>
      <c r="G63" s="12">
        <v>750.0</v>
      </c>
      <c r="H63" s="12"/>
      <c r="I63" s="12" t="s">
        <v>145</v>
      </c>
      <c r="J63" s="13"/>
      <c r="K63" s="13" t="s">
        <v>156</v>
      </c>
      <c r="L63" s="13" t="s">
        <v>697</v>
      </c>
      <c r="M63" s="13" t="s">
        <v>95</v>
      </c>
      <c r="N63" s="14" t="s">
        <v>439</v>
      </c>
      <c r="O63" s="14" t="s">
        <v>637</v>
      </c>
      <c r="P63" s="15">
        <v>28.8386</v>
      </c>
      <c r="Q63" s="15">
        <v>78.7733</v>
      </c>
      <c r="R63" s="15">
        <v>1979.0</v>
      </c>
      <c r="S63" s="14" t="s">
        <v>104</v>
      </c>
      <c r="T63" s="53">
        <v>6302.0</v>
      </c>
      <c r="U63" s="14" t="s">
        <v>105</v>
      </c>
      <c r="V63" s="14" t="s">
        <v>105</v>
      </c>
      <c r="W63" s="14" t="s">
        <v>105</v>
      </c>
      <c r="X63" s="14" t="s">
        <v>105</v>
      </c>
      <c r="Y63" s="14" t="s">
        <v>105</v>
      </c>
      <c r="Z63" s="14" t="s">
        <v>105</v>
      </c>
      <c r="AA63" s="14" t="s">
        <v>105</v>
      </c>
      <c r="AB63" s="14" t="s">
        <v>105</v>
      </c>
      <c r="AC63" s="14" t="s">
        <v>105</v>
      </c>
      <c r="AD63" s="14" t="s">
        <v>105</v>
      </c>
      <c r="AE63" s="17" t="s">
        <v>218</v>
      </c>
      <c r="AF63" s="17" t="s">
        <v>88</v>
      </c>
      <c r="AG63" s="14" t="s">
        <v>105</v>
      </c>
      <c r="AH63" s="17" t="s">
        <v>72</v>
      </c>
      <c r="AI63" s="18" t="s">
        <v>88</v>
      </c>
      <c r="AJ63" s="14" t="s">
        <v>105</v>
      </c>
      <c r="AK63" s="14" t="s">
        <v>105</v>
      </c>
      <c r="AL63" s="14" t="s">
        <v>1309</v>
      </c>
      <c r="AM63" s="14" t="s">
        <v>1310</v>
      </c>
      <c r="AN63" s="14" t="s">
        <v>105</v>
      </c>
      <c r="AO63" s="36" t="s">
        <v>1311</v>
      </c>
      <c r="AP63" s="25" t="s">
        <v>284</v>
      </c>
      <c r="AQ63" s="23">
        <v>46277.0</v>
      </c>
      <c r="AR63" s="24" t="s">
        <v>190</v>
      </c>
      <c r="AS63" s="25" t="s">
        <v>193</v>
      </c>
      <c r="AT63" s="25" t="s">
        <v>1312</v>
      </c>
      <c r="AU63" s="25" t="s">
        <v>1313</v>
      </c>
    </row>
    <row r="64" ht="15.0" hidden="1" customHeight="1">
      <c r="A64" s="26">
        <v>2.0</v>
      </c>
      <c r="B64" s="26" t="s">
        <v>1314</v>
      </c>
      <c r="C64" s="27" t="s">
        <v>1059</v>
      </c>
      <c r="D64" s="27"/>
      <c r="E64" s="26" t="s">
        <v>1314</v>
      </c>
      <c r="F64" s="26">
        <v>1.0</v>
      </c>
      <c r="G64" s="26">
        <v>750.0</v>
      </c>
      <c r="H64" s="26"/>
      <c r="I64" s="26" t="s">
        <v>145</v>
      </c>
      <c r="J64" s="27"/>
      <c r="K64" s="27" t="s">
        <v>94</v>
      </c>
      <c r="L64" s="27"/>
      <c r="M64" s="27" t="s">
        <v>95</v>
      </c>
      <c r="N64" s="73" t="s">
        <v>376</v>
      </c>
      <c r="O64" s="73" t="s">
        <v>377</v>
      </c>
      <c r="P64" s="74">
        <v>19.0178</v>
      </c>
      <c r="Q64" s="74">
        <v>72.8478</v>
      </c>
      <c r="R64" s="74">
        <v>1947.0</v>
      </c>
      <c r="S64" s="73" t="s">
        <v>198</v>
      </c>
      <c r="T64" s="74">
        <v>55257.0</v>
      </c>
      <c r="U64" s="74">
        <v>8.6219949E7</v>
      </c>
      <c r="V64" s="74">
        <v>3095951.0</v>
      </c>
      <c r="W64" s="74">
        <v>8.93159E7</v>
      </c>
      <c r="X64" s="74">
        <v>6.5</v>
      </c>
      <c r="Y64" s="74">
        <v>423991.73</v>
      </c>
      <c r="Z64" s="74" t="s">
        <v>105</v>
      </c>
      <c r="AA64" s="74">
        <v>6.357E7</v>
      </c>
      <c r="AB64" s="74">
        <v>3978444.0</v>
      </c>
      <c r="AC64" s="74">
        <v>210.6548163</v>
      </c>
      <c r="AD64" s="74">
        <v>87.0</v>
      </c>
      <c r="AE64" s="75" t="s">
        <v>1315</v>
      </c>
      <c r="AF64" s="75" t="s">
        <v>88</v>
      </c>
      <c r="AG64" s="30" t="s">
        <v>105</v>
      </c>
      <c r="AH64" s="75" t="s">
        <v>72</v>
      </c>
      <c r="AI64" s="75" t="s">
        <v>88</v>
      </c>
      <c r="AJ64" s="73" t="s">
        <v>1316</v>
      </c>
      <c r="AK64" s="73" t="s">
        <v>1317</v>
      </c>
      <c r="AL64" s="73" t="s">
        <v>1318</v>
      </c>
      <c r="AM64" s="28" t="s">
        <v>1319</v>
      </c>
      <c r="AN64" s="28" t="s">
        <v>1320</v>
      </c>
      <c r="AO64" s="28" t="s">
        <v>414</v>
      </c>
      <c r="AP64" s="73" t="s">
        <v>176</v>
      </c>
      <c r="AQ64" s="31">
        <v>46204.0</v>
      </c>
      <c r="AR64" s="76" t="s">
        <v>237</v>
      </c>
      <c r="AS64" s="73" t="s">
        <v>240</v>
      </c>
      <c r="AT64" s="28" t="s">
        <v>416</v>
      </c>
      <c r="AU64" s="73"/>
    </row>
    <row r="65" ht="31.5" hidden="1" customHeight="1">
      <c r="A65" s="26">
        <v>1.0</v>
      </c>
      <c r="B65" s="26" t="s">
        <v>1321</v>
      </c>
      <c r="C65" s="27" t="s">
        <v>473</v>
      </c>
      <c r="D65" s="27"/>
      <c r="E65" s="26" t="s">
        <v>1321</v>
      </c>
      <c r="F65" s="26">
        <v>2.0</v>
      </c>
      <c r="G65" s="26">
        <v>7500.0</v>
      </c>
      <c r="H65" s="26">
        <v>98.3</v>
      </c>
      <c r="I65" s="26" t="s">
        <v>92</v>
      </c>
      <c r="J65" s="27"/>
      <c r="K65" s="27" t="s">
        <v>93</v>
      </c>
      <c r="L65" s="27" t="s">
        <v>249</v>
      </c>
      <c r="M65" s="26" t="s">
        <v>95</v>
      </c>
      <c r="N65" s="28" t="s">
        <v>833</v>
      </c>
      <c r="O65" s="28" t="s">
        <v>100</v>
      </c>
      <c r="P65" s="29">
        <v>11.0168</v>
      </c>
      <c r="Q65" s="29">
        <v>76.9558</v>
      </c>
      <c r="R65" s="29">
        <v>2003.0</v>
      </c>
      <c r="S65" s="28" t="s">
        <v>198</v>
      </c>
      <c r="T65" s="29">
        <v>20774.0</v>
      </c>
      <c r="U65" s="29">
        <v>59834.0</v>
      </c>
      <c r="V65" s="29">
        <v>161703.0</v>
      </c>
      <c r="W65" s="29">
        <v>221537.0</v>
      </c>
      <c r="X65" s="29">
        <v>24.1</v>
      </c>
      <c r="Y65" s="29">
        <v>1741.85</v>
      </c>
      <c r="Z65" s="29">
        <v>34.0</v>
      </c>
      <c r="AA65" s="29">
        <v>1842246.0</v>
      </c>
      <c r="AB65" s="29">
        <v>1828.4</v>
      </c>
      <c r="AC65" s="29">
        <v>127.1848896</v>
      </c>
      <c r="AD65" s="29">
        <v>73.0</v>
      </c>
      <c r="AE65" s="30" t="s">
        <v>1315</v>
      </c>
      <c r="AF65" s="30" t="s">
        <v>88</v>
      </c>
      <c r="AG65" s="30" t="s">
        <v>105</v>
      </c>
      <c r="AH65" s="30" t="s">
        <v>72</v>
      </c>
      <c r="AI65" s="30" t="s">
        <v>72</v>
      </c>
      <c r="AJ65" s="28" t="s">
        <v>1322</v>
      </c>
      <c r="AK65" s="28" t="s">
        <v>105</v>
      </c>
      <c r="AL65" s="28" t="s">
        <v>1302</v>
      </c>
      <c r="AM65" s="28" t="s">
        <v>1303</v>
      </c>
      <c r="AN65" s="28" t="s">
        <v>1304</v>
      </c>
      <c r="AO65" s="28" t="s">
        <v>414</v>
      </c>
      <c r="AP65" s="28" t="s">
        <v>486</v>
      </c>
      <c r="AQ65" s="31">
        <v>46204.0</v>
      </c>
      <c r="AR65" s="32" t="s">
        <v>237</v>
      </c>
      <c r="AS65" s="28" t="s">
        <v>240</v>
      </c>
      <c r="AT65" s="28" t="s">
        <v>416</v>
      </c>
      <c r="AU65" s="28"/>
    </row>
    <row r="66" ht="20.25" hidden="1" customHeight="1">
      <c r="A66" s="12">
        <v>2.0</v>
      </c>
      <c r="B66" s="12"/>
      <c r="C66" s="13" t="s">
        <v>1069</v>
      </c>
      <c r="D66" s="13"/>
      <c r="E66" s="12" t="s">
        <v>88</v>
      </c>
      <c r="F66" s="12">
        <v>2.0</v>
      </c>
      <c r="G66" s="12">
        <v>500.0</v>
      </c>
      <c r="H66" s="12">
        <v>19.1</v>
      </c>
      <c r="I66" s="12" t="s">
        <v>91</v>
      </c>
      <c r="J66" s="13"/>
      <c r="K66" s="13" t="s">
        <v>156</v>
      </c>
      <c r="L66" s="13" t="s">
        <v>812</v>
      </c>
      <c r="M66" s="13" t="s">
        <v>95</v>
      </c>
      <c r="N66" s="14" t="s">
        <v>406</v>
      </c>
      <c r="O66" s="14" t="s">
        <v>407</v>
      </c>
      <c r="P66" s="15">
        <v>28.4089</v>
      </c>
      <c r="Q66" s="15">
        <v>77.3178</v>
      </c>
      <c r="R66" s="15">
        <v>1986.0</v>
      </c>
      <c r="S66" s="14" t="s">
        <v>104</v>
      </c>
      <c r="T66" s="15" t="s">
        <v>105</v>
      </c>
      <c r="U66" s="14" t="s">
        <v>105</v>
      </c>
      <c r="V66" s="14" t="s">
        <v>105</v>
      </c>
      <c r="W66" s="14" t="s">
        <v>105</v>
      </c>
      <c r="X66" s="15" t="s">
        <v>105</v>
      </c>
      <c r="Y66" s="14" t="s">
        <v>105</v>
      </c>
      <c r="Z66" s="14" t="s">
        <v>105</v>
      </c>
      <c r="AA66" s="53" t="s">
        <v>105</v>
      </c>
      <c r="AB66" s="14" t="s">
        <v>105</v>
      </c>
      <c r="AC66" s="14" t="s">
        <v>105</v>
      </c>
      <c r="AD66" s="14" t="s">
        <v>105</v>
      </c>
      <c r="AE66" s="17" t="s">
        <v>106</v>
      </c>
      <c r="AF66" s="17" t="s">
        <v>88</v>
      </c>
      <c r="AG66" s="14" t="s">
        <v>105</v>
      </c>
      <c r="AH66" s="17" t="s">
        <v>72</v>
      </c>
      <c r="AI66" s="18" t="s">
        <v>88</v>
      </c>
      <c r="AJ66" s="14" t="s">
        <v>1323</v>
      </c>
      <c r="AK66" s="14" t="s">
        <v>1324</v>
      </c>
      <c r="AL66" s="14" t="s">
        <v>1325</v>
      </c>
      <c r="AM66" s="14" t="s">
        <v>818</v>
      </c>
      <c r="AN66" s="77" t="s">
        <v>1326</v>
      </c>
      <c r="AO66" s="94" t="s">
        <v>1327</v>
      </c>
      <c r="AP66" s="25" t="s">
        <v>284</v>
      </c>
      <c r="AQ66" s="23">
        <v>46277.0</v>
      </c>
      <c r="AR66" s="24" t="s">
        <v>190</v>
      </c>
      <c r="AS66" s="25" t="s">
        <v>193</v>
      </c>
      <c r="AT66" s="25" t="s">
        <v>1328</v>
      </c>
      <c r="AU66" s="25" t="s">
        <v>1329</v>
      </c>
    </row>
    <row r="67" ht="20.25" hidden="1" customHeight="1">
      <c r="A67" s="12">
        <v>2.0</v>
      </c>
      <c r="B67" s="12"/>
      <c r="C67" s="13" t="s">
        <v>1077</v>
      </c>
      <c r="D67" s="13"/>
      <c r="E67" s="12" t="s">
        <v>88</v>
      </c>
      <c r="F67" s="12">
        <v>2.0</v>
      </c>
      <c r="G67" s="12">
        <v>500.0</v>
      </c>
      <c r="H67" s="12">
        <v>33.2</v>
      </c>
      <c r="I67" s="12" t="s">
        <v>91</v>
      </c>
      <c r="J67" s="13"/>
      <c r="K67" s="13" t="s">
        <v>93</v>
      </c>
      <c r="L67" s="13" t="s">
        <v>742</v>
      </c>
      <c r="M67" s="12" t="s">
        <v>95</v>
      </c>
      <c r="N67" s="14" t="s">
        <v>1149</v>
      </c>
      <c r="O67" s="14" t="s">
        <v>440</v>
      </c>
      <c r="P67" s="15">
        <v>28.523</v>
      </c>
      <c r="Q67" s="15">
        <v>77.1557</v>
      </c>
      <c r="R67" s="15">
        <v>2005.0</v>
      </c>
      <c r="S67" s="14" t="s">
        <v>104</v>
      </c>
      <c r="T67" s="15">
        <v>128.0</v>
      </c>
      <c r="U67" s="14" t="s">
        <v>105</v>
      </c>
      <c r="V67" s="14" t="s">
        <v>105</v>
      </c>
      <c r="W67" s="14" t="s">
        <v>105</v>
      </c>
      <c r="X67" s="14" t="s">
        <v>105</v>
      </c>
      <c r="Y67" s="14" t="s">
        <v>105</v>
      </c>
      <c r="Z67" s="14" t="s">
        <v>105</v>
      </c>
      <c r="AA67" s="14" t="s">
        <v>105</v>
      </c>
      <c r="AB67" s="14" t="s">
        <v>105</v>
      </c>
      <c r="AC67" s="14" t="s">
        <v>105</v>
      </c>
      <c r="AD67" s="14" t="s">
        <v>105</v>
      </c>
      <c r="AE67" s="17" t="s">
        <v>106</v>
      </c>
      <c r="AF67" s="17" t="s">
        <v>88</v>
      </c>
      <c r="AG67" s="14" t="s">
        <v>105</v>
      </c>
      <c r="AH67" s="17" t="s">
        <v>88</v>
      </c>
      <c r="AI67" s="18" t="s">
        <v>88</v>
      </c>
      <c r="AJ67" s="14" t="s">
        <v>105</v>
      </c>
      <c r="AK67" s="14" t="s">
        <v>105</v>
      </c>
      <c r="AL67" s="25" t="s">
        <v>302</v>
      </c>
      <c r="AM67" s="14" t="s">
        <v>1330</v>
      </c>
      <c r="AN67" s="14" t="s">
        <v>1331</v>
      </c>
      <c r="AO67" s="22" t="s">
        <v>1332</v>
      </c>
      <c r="AP67" s="14" t="s">
        <v>232</v>
      </c>
      <c r="AQ67" s="23">
        <v>46277.0</v>
      </c>
      <c r="AR67" s="24" t="s">
        <v>190</v>
      </c>
      <c r="AS67" s="25" t="s">
        <v>193</v>
      </c>
      <c r="AT67" s="25" t="s">
        <v>1333</v>
      </c>
      <c r="AU67" s="14" t="s">
        <v>197</v>
      </c>
    </row>
    <row r="68" ht="16.5" hidden="1" customHeight="1">
      <c r="A68" s="12">
        <v>2.0</v>
      </c>
      <c r="B68" s="12"/>
      <c r="C68" s="13" t="s">
        <v>1087</v>
      </c>
      <c r="D68" s="13"/>
      <c r="E68" s="12" t="s">
        <v>88</v>
      </c>
      <c r="F68" s="12">
        <v>2.0</v>
      </c>
      <c r="G68" s="12">
        <v>500.0</v>
      </c>
      <c r="H68" s="12"/>
      <c r="I68" s="12" t="s">
        <v>145</v>
      </c>
      <c r="J68" s="13"/>
      <c r="K68" s="13" t="s">
        <v>156</v>
      </c>
      <c r="L68" s="13" t="s">
        <v>697</v>
      </c>
      <c r="M68" s="12" t="s">
        <v>95</v>
      </c>
      <c r="N68" s="14" t="s">
        <v>439</v>
      </c>
      <c r="O68" s="14" t="s">
        <v>637</v>
      </c>
      <c r="P68" s="15">
        <v>28.8386</v>
      </c>
      <c r="Q68" s="15">
        <v>78.7733</v>
      </c>
      <c r="R68" s="15">
        <v>1993.0</v>
      </c>
      <c r="S68" s="14" t="s">
        <v>104</v>
      </c>
      <c r="T68" s="15">
        <v>50.0</v>
      </c>
      <c r="U68" s="14" t="s">
        <v>105</v>
      </c>
      <c r="V68" s="14" t="s">
        <v>105</v>
      </c>
      <c r="W68" s="14" t="s">
        <v>105</v>
      </c>
      <c r="X68" s="14" t="s">
        <v>105</v>
      </c>
      <c r="Y68" s="14" t="s">
        <v>105</v>
      </c>
      <c r="Z68" s="14" t="s">
        <v>105</v>
      </c>
      <c r="AA68" s="14" t="s">
        <v>105</v>
      </c>
      <c r="AB68" s="14" t="s">
        <v>105</v>
      </c>
      <c r="AC68" s="14" t="s">
        <v>105</v>
      </c>
      <c r="AD68" s="14" t="s">
        <v>105</v>
      </c>
      <c r="AE68" s="17" t="s">
        <v>106</v>
      </c>
      <c r="AF68" s="17" t="s">
        <v>88</v>
      </c>
      <c r="AG68" s="14" t="s">
        <v>105</v>
      </c>
      <c r="AH68" s="17" t="s">
        <v>88</v>
      </c>
      <c r="AI68" s="18" t="s">
        <v>88</v>
      </c>
      <c r="AJ68" s="14" t="s">
        <v>105</v>
      </c>
      <c r="AK68" s="14" t="s">
        <v>105</v>
      </c>
      <c r="AL68" s="14" t="s">
        <v>1334</v>
      </c>
      <c r="AM68" s="14" t="s">
        <v>1335</v>
      </c>
      <c r="AN68" s="14" t="s">
        <v>1336</v>
      </c>
      <c r="AO68" s="22" t="s">
        <v>1337</v>
      </c>
      <c r="AP68" s="14" t="s">
        <v>690</v>
      </c>
      <c r="AQ68" s="23">
        <v>46277.0</v>
      </c>
      <c r="AR68" s="24" t="s">
        <v>190</v>
      </c>
      <c r="AS68" s="25" t="s">
        <v>193</v>
      </c>
      <c r="AT68" s="25" t="s">
        <v>1338</v>
      </c>
      <c r="AU68" s="14" t="s">
        <v>1339</v>
      </c>
    </row>
    <row r="69" ht="20.25" hidden="1" customHeight="1">
      <c r="A69" s="12">
        <v>2.0</v>
      </c>
      <c r="B69" s="12"/>
      <c r="C69" s="13" t="s">
        <v>1093</v>
      </c>
      <c r="D69" s="13"/>
      <c r="E69" s="12" t="s">
        <v>88</v>
      </c>
      <c r="F69" s="12">
        <v>2.0</v>
      </c>
      <c r="G69" s="12">
        <v>500.0</v>
      </c>
      <c r="H69" s="12">
        <v>13.5</v>
      </c>
      <c r="I69" s="12" t="s">
        <v>145</v>
      </c>
      <c r="J69" s="13"/>
      <c r="K69" s="13" t="s">
        <v>248</v>
      </c>
      <c r="L69" s="13" t="s">
        <v>593</v>
      </c>
      <c r="M69" s="12" t="s">
        <v>95</v>
      </c>
      <c r="N69" s="14" t="s">
        <v>1128</v>
      </c>
      <c r="O69" s="14" t="s">
        <v>637</v>
      </c>
      <c r="P69" s="15">
        <v>25.3908</v>
      </c>
      <c r="Q69" s="15">
        <v>82.5706</v>
      </c>
      <c r="R69" s="15">
        <v>1970.0</v>
      </c>
      <c r="S69" s="14" t="s">
        <v>1340</v>
      </c>
      <c r="T69" s="53">
        <v>12500.0</v>
      </c>
      <c r="U69" s="14" t="s">
        <v>105</v>
      </c>
      <c r="V69" s="14" t="s">
        <v>105</v>
      </c>
      <c r="W69" s="14" t="s">
        <v>105</v>
      </c>
      <c r="X69" s="14" t="s">
        <v>105</v>
      </c>
      <c r="Y69" s="14" t="s">
        <v>105</v>
      </c>
      <c r="Z69" s="14" t="s">
        <v>105</v>
      </c>
      <c r="AA69" s="14" t="s">
        <v>105</v>
      </c>
      <c r="AB69" s="14" t="s">
        <v>105</v>
      </c>
      <c r="AC69" s="14" t="s">
        <v>105</v>
      </c>
      <c r="AD69" s="14" t="s">
        <v>105</v>
      </c>
      <c r="AE69" s="17" t="s">
        <v>106</v>
      </c>
      <c r="AF69" s="17" t="s">
        <v>88</v>
      </c>
      <c r="AG69" s="14" t="s">
        <v>105</v>
      </c>
      <c r="AH69" s="17" t="s">
        <v>88</v>
      </c>
      <c r="AI69" s="18" t="s">
        <v>88</v>
      </c>
      <c r="AJ69" s="14" t="s">
        <v>1341</v>
      </c>
      <c r="AK69" s="14" t="s">
        <v>1342</v>
      </c>
      <c r="AL69" s="25" t="s">
        <v>302</v>
      </c>
      <c r="AM69" s="14" t="s">
        <v>1343</v>
      </c>
      <c r="AN69" s="14" t="s">
        <v>1344</v>
      </c>
      <c r="AO69" s="22" t="s">
        <v>1345</v>
      </c>
      <c r="AP69" s="25" t="s">
        <v>284</v>
      </c>
      <c r="AQ69" s="23">
        <v>46277.0</v>
      </c>
      <c r="AR69" s="24" t="s">
        <v>190</v>
      </c>
      <c r="AS69" s="25" t="s">
        <v>193</v>
      </c>
      <c r="AT69" s="25" t="s">
        <v>1346</v>
      </c>
      <c r="AU69" s="25" t="s">
        <v>1347</v>
      </c>
    </row>
    <row r="70" ht="28.5" hidden="1" customHeight="1">
      <c r="A70" s="12">
        <v>2.0</v>
      </c>
      <c r="B70" s="12"/>
      <c r="C70" s="13" t="s">
        <v>1011</v>
      </c>
      <c r="D70" s="13"/>
      <c r="E70" s="12" t="s">
        <v>88</v>
      </c>
      <c r="F70" s="12">
        <v>1.0</v>
      </c>
      <c r="G70" s="12">
        <v>750.0</v>
      </c>
      <c r="H70" s="12">
        <v>27.8</v>
      </c>
      <c r="I70" s="12" t="s">
        <v>92</v>
      </c>
      <c r="J70" s="13"/>
      <c r="K70" s="13" t="s">
        <v>156</v>
      </c>
      <c r="L70" s="13" t="s">
        <v>697</v>
      </c>
      <c r="M70" s="13" t="s">
        <v>95</v>
      </c>
      <c r="N70" s="14" t="s">
        <v>458</v>
      </c>
      <c r="O70" s="14" t="s">
        <v>637</v>
      </c>
      <c r="P70" s="15">
        <v>28.5355</v>
      </c>
      <c r="Q70" s="15">
        <v>77.391</v>
      </c>
      <c r="R70" s="15">
        <v>2007.0</v>
      </c>
      <c r="S70" s="14" t="s">
        <v>104</v>
      </c>
      <c r="T70" s="15" t="s">
        <v>105</v>
      </c>
      <c r="U70" s="14" t="s">
        <v>105</v>
      </c>
      <c r="V70" s="14" t="s">
        <v>105</v>
      </c>
      <c r="W70" s="14" t="s">
        <v>105</v>
      </c>
      <c r="X70" s="14" t="s">
        <v>105</v>
      </c>
      <c r="Y70" s="14" t="s">
        <v>105</v>
      </c>
      <c r="Z70" s="14" t="s">
        <v>105</v>
      </c>
      <c r="AA70" s="14" t="s">
        <v>105</v>
      </c>
      <c r="AB70" s="14" t="s">
        <v>105</v>
      </c>
      <c r="AC70" s="14" t="s">
        <v>105</v>
      </c>
      <c r="AD70" s="14" t="s">
        <v>105</v>
      </c>
      <c r="AE70" s="17" t="s">
        <v>106</v>
      </c>
      <c r="AF70" s="17" t="s">
        <v>88</v>
      </c>
      <c r="AG70" s="14" t="s">
        <v>105</v>
      </c>
      <c r="AH70" s="17" t="s">
        <v>72</v>
      </c>
      <c r="AI70" s="18" t="s">
        <v>88</v>
      </c>
      <c r="AJ70" s="14" t="s">
        <v>105</v>
      </c>
      <c r="AK70" s="14" t="s">
        <v>105</v>
      </c>
      <c r="AL70" s="14" t="s">
        <v>765</v>
      </c>
      <c r="AM70" s="14" t="s">
        <v>1348</v>
      </c>
      <c r="AN70" s="77" t="s">
        <v>1349</v>
      </c>
      <c r="AO70" s="97" t="s">
        <v>1350</v>
      </c>
      <c r="AP70" s="25" t="s">
        <v>284</v>
      </c>
      <c r="AQ70" s="23">
        <v>46277.0</v>
      </c>
      <c r="AR70" s="24" t="s">
        <v>190</v>
      </c>
      <c r="AS70" s="25" t="s">
        <v>193</v>
      </c>
      <c r="AT70" s="25" t="s">
        <v>1351</v>
      </c>
      <c r="AU70" s="25" t="s">
        <v>1352</v>
      </c>
    </row>
    <row r="71" ht="20.25" hidden="1" customHeight="1">
      <c r="A71" s="12">
        <v>2.0</v>
      </c>
      <c r="B71" s="12"/>
      <c r="C71" s="13" t="s">
        <v>1104</v>
      </c>
      <c r="D71" s="13"/>
      <c r="E71" s="12" t="s">
        <v>88</v>
      </c>
      <c r="F71" s="12">
        <v>1.0</v>
      </c>
      <c r="G71" s="12">
        <v>250.0</v>
      </c>
      <c r="H71" s="12">
        <v>62.0</v>
      </c>
      <c r="I71" s="12" t="s">
        <v>128</v>
      </c>
      <c r="J71" s="13"/>
      <c r="K71" s="13" t="s">
        <v>93</v>
      </c>
      <c r="L71" s="13" t="s">
        <v>742</v>
      </c>
      <c r="M71" s="12" t="s">
        <v>95</v>
      </c>
      <c r="N71" s="14" t="s">
        <v>1353</v>
      </c>
      <c r="O71" s="14" t="s">
        <v>377</v>
      </c>
      <c r="P71" s="15">
        <v>19.033</v>
      </c>
      <c r="Q71" s="15">
        <v>73.0297</v>
      </c>
      <c r="R71" s="15">
        <v>1991.0</v>
      </c>
      <c r="S71" s="14" t="s">
        <v>104</v>
      </c>
      <c r="T71" s="53">
        <v>2000.0</v>
      </c>
      <c r="U71" s="14" t="s">
        <v>105</v>
      </c>
      <c r="V71" s="14" t="s">
        <v>105</v>
      </c>
      <c r="W71" s="14" t="s">
        <v>105</v>
      </c>
      <c r="X71" s="14" t="s">
        <v>105</v>
      </c>
      <c r="Y71" s="14" t="s">
        <v>105</v>
      </c>
      <c r="Z71" s="14" t="s">
        <v>105</v>
      </c>
      <c r="AA71" s="14" t="s">
        <v>105</v>
      </c>
      <c r="AB71" s="14" t="s">
        <v>105</v>
      </c>
      <c r="AC71" s="14" t="s">
        <v>105</v>
      </c>
      <c r="AD71" s="14" t="s">
        <v>105</v>
      </c>
      <c r="AE71" s="17" t="s">
        <v>106</v>
      </c>
      <c r="AF71" s="17" t="s">
        <v>88</v>
      </c>
      <c r="AG71" s="14" t="s">
        <v>105</v>
      </c>
      <c r="AH71" s="17" t="s">
        <v>88</v>
      </c>
      <c r="AI71" s="18" t="s">
        <v>88</v>
      </c>
      <c r="AJ71" s="14" t="s">
        <v>1354</v>
      </c>
      <c r="AK71" s="14" t="s">
        <v>1355</v>
      </c>
      <c r="AL71" s="14" t="s">
        <v>1356</v>
      </c>
      <c r="AM71" s="14" t="s">
        <v>1357</v>
      </c>
      <c r="AN71" s="14" t="s">
        <v>1358</v>
      </c>
      <c r="AO71" s="22" t="s">
        <v>1359</v>
      </c>
      <c r="AP71" s="14" t="s">
        <v>232</v>
      </c>
      <c r="AQ71" s="23">
        <v>46277.0</v>
      </c>
      <c r="AR71" s="24" t="s">
        <v>190</v>
      </c>
      <c r="AS71" s="25" t="s">
        <v>193</v>
      </c>
      <c r="AT71" s="25" t="s">
        <v>1360</v>
      </c>
      <c r="AU71" s="25" t="s">
        <v>1361</v>
      </c>
    </row>
    <row r="72" ht="22.5" hidden="1" customHeight="1">
      <c r="A72" s="12">
        <v>2.0</v>
      </c>
      <c r="B72" s="12"/>
      <c r="C72" s="13" t="s">
        <v>1108</v>
      </c>
      <c r="D72" s="13"/>
      <c r="E72" s="12" t="s">
        <v>88</v>
      </c>
      <c r="F72" s="12">
        <v>1.0</v>
      </c>
      <c r="G72" s="12">
        <v>250.0</v>
      </c>
      <c r="H72" s="12"/>
      <c r="I72" s="12" t="s">
        <v>128</v>
      </c>
      <c r="J72" s="13"/>
      <c r="K72" s="13" t="s">
        <v>130</v>
      </c>
      <c r="L72" s="13"/>
      <c r="M72" s="12" t="s">
        <v>95</v>
      </c>
      <c r="N72" s="14" t="s">
        <v>458</v>
      </c>
      <c r="O72" s="14" t="s">
        <v>637</v>
      </c>
      <c r="P72" s="15">
        <v>28.5355</v>
      </c>
      <c r="Q72" s="15">
        <v>77.391</v>
      </c>
      <c r="R72" s="15">
        <v>2014.0</v>
      </c>
      <c r="S72" s="14" t="s">
        <v>1362</v>
      </c>
      <c r="T72" s="15">
        <v>10.0</v>
      </c>
      <c r="U72" s="14" t="s">
        <v>105</v>
      </c>
      <c r="V72" s="14" t="s">
        <v>105</v>
      </c>
      <c r="W72" s="14" t="s">
        <v>105</v>
      </c>
      <c r="X72" s="14" t="s">
        <v>105</v>
      </c>
      <c r="Y72" s="14" t="s">
        <v>105</v>
      </c>
      <c r="Z72" s="14" t="s">
        <v>105</v>
      </c>
      <c r="AA72" s="14" t="s">
        <v>105</v>
      </c>
      <c r="AB72" s="14" t="s">
        <v>105</v>
      </c>
      <c r="AC72" s="14" t="s">
        <v>105</v>
      </c>
      <c r="AD72" s="14" t="s">
        <v>105</v>
      </c>
      <c r="AE72" s="17" t="s">
        <v>106</v>
      </c>
      <c r="AF72" s="17" t="s">
        <v>88</v>
      </c>
      <c r="AG72" s="14" t="s">
        <v>105</v>
      </c>
      <c r="AH72" s="17" t="s">
        <v>88</v>
      </c>
      <c r="AI72" s="18" t="s">
        <v>88</v>
      </c>
      <c r="AJ72" s="14" t="s">
        <v>105</v>
      </c>
      <c r="AK72" s="14" t="s">
        <v>105</v>
      </c>
      <c r="AL72" s="14" t="s">
        <v>1363</v>
      </c>
      <c r="AM72" s="14" t="s">
        <v>1364</v>
      </c>
      <c r="AN72" s="14" t="s">
        <v>1365</v>
      </c>
      <c r="AO72" s="22" t="s">
        <v>1366</v>
      </c>
      <c r="AP72" s="25" t="s">
        <v>284</v>
      </c>
      <c r="AQ72" s="23">
        <v>46277.0</v>
      </c>
      <c r="AR72" s="24" t="s">
        <v>190</v>
      </c>
      <c r="AS72" s="25" t="s">
        <v>193</v>
      </c>
      <c r="AT72" s="25" t="s">
        <v>1367</v>
      </c>
      <c r="AU72" s="14" t="s">
        <v>197</v>
      </c>
    </row>
    <row r="73" ht="25.5" hidden="1" customHeight="1">
      <c r="A73" s="12">
        <v>1.0</v>
      </c>
      <c r="B73" s="12"/>
      <c r="C73" s="13" t="s">
        <v>801</v>
      </c>
      <c r="D73" s="13"/>
      <c r="E73" s="12" t="s">
        <v>88</v>
      </c>
      <c r="F73" s="12">
        <v>3.0</v>
      </c>
      <c r="G73" s="12">
        <v>2250.0</v>
      </c>
      <c r="H73" s="12">
        <v>37.0</v>
      </c>
      <c r="I73" s="12" t="s">
        <v>92</v>
      </c>
      <c r="J73" s="13"/>
      <c r="K73" s="13" t="s">
        <v>93</v>
      </c>
      <c r="L73" s="13" t="s">
        <v>118</v>
      </c>
      <c r="M73" s="12" t="s">
        <v>95</v>
      </c>
      <c r="N73" s="25" t="s">
        <v>458</v>
      </c>
      <c r="O73" s="25" t="s">
        <v>459</v>
      </c>
      <c r="P73" s="33">
        <v>28.5355</v>
      </c>
      <c r="Q73" s="33">
        <v>77.391</v>
      </c>
      <c r="R73" s="33">
        <v>1973.0</v>
      </c>
      <c r="S73" s="25" t="s">
        <v>299</v>
      </c>
      <c r="T73" s="33">
        <v>5000.0</v>
      </c>
      <c r="U73" s="14" t="s">
        <v>105</v>
      </c>
      <c r="V73" s="14" t="s">
        <v>105</v>
      </c>
      <c r="W73" s="14" t="s">
        <v>105</v>
      </c>
      <c r="X73" s="14" t="s">
        <v>105</v>
      </c>
      <c r="Y73" s="14" t="s">
        <v>105</v>
      </c>
      <c r="Z73" s="14" t="s">
        <v>105</v>
      </c>
      <c r="AA73" s="14" t="s">
        <v>105</v>
      </c>
      <c r="AB73" s="14" t="s">
        <v>105</v>
      </c>
      <c r="AC73" s="14" t="s">
        <v>105</v>
      </c>
      <c r="AD73" s="14" t="s">
        <v>105</v>
      </c>
      <c r="AE73" s="14" t="s">
        <v>105</v>
      </c>
      <c r="AF73" s="14" t="s">
        <v>105</v>
      </c>
      <c r="AG73" s="14" t="s">
        <v>105</v>
      </c>
      <c r="AH73" s="34" t="s">
        <v>88</v>
      </c>
      <c r="AI73" s="34" t="s">
        <v>88</v>
      </c>
      <c r="AJ73" s="25" t="s">
        <v>1368</v>
      </c>
      <c r="AK73" s="25" t="s">
        <v>1369</v>
      </c>
      <c r="AL73" s="25" t="s">
        <v>1370</v>
      </c>
      <c r="AM73" s="25" t="s">
        <v>1371</v>
      </c>
      <c r="AN73" s="25" t="s">
        <v>463</v>
      </c>
      <c r="AO73" s="85" t="s">
        <v>1372</v>
      </c>
      <c r="AP73" s="25" t="s">
        <v>284</v>
      </c>
      <c r="AQ73" s="37">
        <v>46276.0</v>
      </c>
      <c r="AR73" s="24" t="s">
        <v>190</v>
      </c>
      <c r="AS73" s="25" t="s">
        <v>193</v>
      </c>
      <c r="AT73" s="25" t="s">
        <v>1373</v>
      </c>
      <c r="AU73" s="25" t="s">
        <v>1374</v>
      </c>
    </row>
    <row r="74" ht="21.0" hidden="1" customHeight="1">
      <c r="A74" s="12">
        <v>2.0</v>
      </c>
      <c r="B74" s="12"/>
      <c r="C74" s="13" t="s">
        <v>1118</v>
      </c>
      <c r="D74" s="13"/>
      <c r="E74" s="12" t="s">
        <v>88</v>
      </c>
      <c r="F74" s="12">
        <v>1.0</v>
      </c>
      <c r="G74" s="12">
        <v>250.0</v>
      </c>
      <c r="H74" s="12"/>
      <c r="I74" s="12" t="s">
        <v>92</v>
      </c>
      <c r="J74" s="13"/>
      <c r="K74" s="13" t="s">
        <v>94</v>
      </c>
      <c r="L74" s="13"/>
      <c r="M74" s="12" t="s">
        <v>95</v>
      </c>
      <c r="N74" s="14" t="s">
        <v>1375</v>
      </c>
      <c r="O74" s="14" t="s">
        <v>100</v>
      </c>
      <c r="P74" s="15">
        <v>12.6842</v>
      </c>
      <c r="Q74" s="15">
        <v>78.6186</v>
      </c>
      <c r="R74" s="15">
        <v>2014.0</v>
      </c>
      <c r="S74" s="14" t="s">
        <v>1376</v>
      </c>
      <c r="T74" s="15">
        <v>100.0</v>
      </c>
      <c r="U74" s="14" t="s">
        <v>105</v>
      </c>
      <c r="V74" s="14" t="s">
        <v>105</v>
      </c>
      <c r="W74" s="14" t="s">
        <v>105</v>
      </c>
      <c r="X74" s="14" t="s">
        <v>105</v>
      </c>
      <c r="Y74" s="14" t="s">
        <v>105</v>
      </c>
      <c r="Z74" s="14" t="s">
        <v>105</v>
      </c>
      <c r="AA74" s="14" t="s">
        <v>105</v>
      </c>
      <c r="AB74" s="14" t="s">
        <v>105</v>
      </c>
      <c r="AC74" s="14" t="s">
        <v>105</v>
      </c>
      <c r="AD74" s="14" t="s">
        <v>105</v>
      </c>
      <c r="AE74" s="17" t="s">
        <v>106</v>
      </c>
      <c r="AF74" s="17" t="s">
        <v>88</v>
      </c>
      <c r="AG74" s="14" t="s">
        <v>105</v>
      </c>
      <c r="AH74" s="17" t="s">
        <v>72</v>
      </c>
      <c r="AI74" s="18" t="s">
        <v>88</v>
      </c>
      <c r="AJ74" s="14" t="s">
        <v>105</v>
      </c>
      <c r="AK74" s="14" t="s">
        <v>105</v>
      </c>
      <c r="AL74" s="14" t="s">
        <v>1377</v>
      </c>
      <c r="AM74" s="14" t="s">
        <v>1378</v>
      </c>
      <c r="AN74" s="14" t="s">
        <v>1379</v>
      </c>
      <c r="AO74" s="69" t="s">
        <v>1380</v>
      </c>
      <c r="AP74" s="25" t="s">
        <v>284</v>
      </c>
      <c r="AQ74" s="23">
        <v>46277.0</v>
      </c>
      <c r="AR74" s="24" t="s">
        <v>190</v>
      </c>
      <c r="AS74" s="25" t="s">
        <v>193</v>
      </c>
      <c r="AT74" s="25" t="s">
        <v>1381</v>
      </c>
      <c r="AU74" s="14" t="s">
        <v>1382</v>
      </c>
    </row>
    <row r="75" ht="24.75" hidden="1" customHeight="1">
      <c r="A75" s="40">
        <v>2.0</v>
      </c>
      <c r="B75" s="40"/>
      <c r="C75" s="41" t="s">
        <v>1062</v>
      </c>
      <c r="D75" s="42"/>
      <c r="E75" s="40" t="s">
        <v>88</v>
      </c>
      <c r="F75" s="40">
        <v>2.0</v>
      </c>
      <c r="G75" s="40">
        <v>500.0</v>
      </c>
      <c r="H75" s="40">
        <v>35.9</v>
      </c>
      <c r="I75" s="40" t="s">
        <v>128</v>
      </c>
      <c r="J75" s="42"/>
      <c r="K75" s="42" t="s">
        <v>93</v>
      </c>
      <c r="L75" s="42" t="s">
        <v>573</v>
      </c>
      <c r="M75" s="42" t="s">
        <v>95</v>
      </c>
      <c r="N75" s="89" t="s">
        <v>458</v>
      </c>
      <c r="O75" s="89" t="s">
        <v>459</v>
      </c>
      <c r="P75" s="44">
        <v>28.5355</v>
      </c>
      <c r="Q75" s="44">
        <v>77.391</v>
      </c>
      <c r="R75" s="90">
        <v>2017.0</v>
      </c>
      <c r="S75" s="83" t="s">
        <v>1383</v>
      </c>
      <c r="T75" s="98">
        <v>2200.0</v>
      </c>
      <c r="U75" s="45" t="s">
        <v>105</v>
      </c>
      <c r="V75" s="45" t="s">
        <v>105</v>
      </c>
      <c r="W75" s="45" t="s">
        <v>105</v>
      </c>
      <c r="X75" s="45">
        <v>1.5</v>
      </c>
      <c r="Y75" s="45" t="s">
        <v>105</v>
      </c>
      <c r="Z75" s="45">
        <v>4.0</v>
      </c>
      <c r="AA75" s="45" t="s">
        <v>105</v>
      </c>
      <c r="AB75" s="45" t="s">
        <v>105</v>
      </c>
      <c r="AC75" s="45" t="s">
        <v>105</v>
      </c>
      <c r="AD75" s="45" t="s">
        <v>105</v>
      </c>
      <c r="AE75" s="46" t="s">
        <v>106</v>
      </c>
      <c r="AF75" s="45" t="s">
        <v>105</v>
      </c>
      <c r="AG75" s="45" t="s">
        <v>105</v>
      </c>
      <c r="AH75" s="62" t="s">
        <v>88</v>
      </c>
      <c r="AI75" s="64" t="s">
        <v>88</v>
      </c>
      <c r="AJ75" s="45" t="s">
        <v>105</v>
      </c>
      <c r="AK75" s="45" t="s">
        <v>105</v>
      </c>
      <c r="AL75" s="43" t="s">
        <v>1384</v>
      </c>
      <c r="AM75" s="43" t="s">
        <v>1385</v>
      </c>
      <c r="AN75" s="43" t="s">
        <v>463</v>
      </c>
      <c r="AO75" s="47" t="s">
        <v>1386</v>
      </c>
      <c r="AP75" s="43" t="s">
        <v>486</v>
      </c>
      <c r="AQ75" s="55">
        <v>46267.0</v>
      </c>
      <c r="AR75" s="49" t="s">
        <v>355</v>
      </c>
      <c r="AS75" s="43" t="s">
        <v>193</v>
      </c>
      <c r="AT75" s="43" t="s">
        <v>1387</v>
      </c>
      <c r="AU75" s="89" t="s">
        <v>197</v>
      </c>
    </row>
    <row r="76" ht="31.5" hidden="1" customHeight="1">
      <c r="A76" s="12">
        <v>1.0</v>
      </c>
      <c r="B76" s="12"/>
      <c r="C76" s="13" t="s">
        <v>485</v>
      </c>
      <c r="D76" s="13"/>
      <c r="E76" s="12" t="s">
        <v>88</v>
      </c>
      <c r="F76" s="12">
        <v>5.0</v>
      </c>
      <c r="G76" s="12">
        <v>7000.0</v>
      </c>
      <c r="H76" s="12">
        <v>29.4</v>
      </c>
      <c r="I76" s="12" t="s">
        <v>128</v>
      </c>
      <c r="J76" s="13"/>
      <c r="K76" s="13" t="s">
        <v>93</v>
      </c>
      <c r="L76" s="13" t="s">
        <v>513</v>
      </c>
      <c r="M76" s="12" t="s">
        <v>95</v>
      </c>
      <c r="N76" s="25" t="s">
        <v>1149</v>
      </c>
      <c r="O76" s="25" t="s">
        <v>440</v>
      </c>
      <c r="P76" s="33">
        <v>28.5491</v>
      </c>
      <c r="Q76" s="33">
        <v>77.2514</v>
      </c>
      <c r="R76" s="33">
        <v>1973.0</v>
      </c>
      <c r="S76" s="25" t="s">
        <v>299</v>
      </c>
      <c r="T76" s="33">
        <v>15000.0</v>
      </c>
      <c r="U76" s="14" t="s">
        <v>105</v>
      </c>
      <c r="V76" s="14" t="s">
        <v>105</v>
      </c>
      <c r="W76" s="14" t="s">
        <v>105</v>
      </c>
      <c r="X76" s="14" t="s">
        <v>105</v>
      </c>
      <c r="Y76" s="14" t="s">
        <v>105</v>
      </c>
      <c r="Z76" s="14" t="s">
        <v>105</v>
      </c>
      <c r="AA76" s="14" t="s">
        <v>105</v>
      </c>
      <c r="AB76" s="14" t="s">
        <v>105</v>
      </c>
      <c r="AC76" s="14" t="s">
        <v>105</v>
      </c>
      <c r="AD76" s="14" t="s">
        <v>105</v>
      </c>
      <c r="AE76" s="34" t="s">
        <v>576</v>
      </c>
      <c r="AF76" s="14" t="s">
        <v>105</v>
      </c>
      <c r="AG76" s="14" t="s">
        <v>105</v>
      </c>
      <c r="AH76" s="34" t="s">
        <v>88</v>
      </c>
      <c r="AI76" s="34" t="s">
        <v>88</v>
      </c>
      <c r="AJ76" s="14" t="s">
        <v>105</v>
      </c>
      <c r="AK76" s="14" t="s">
        <v>105</v>
      </c>
      <c r="AL76" s="25" t="s">
        <v>1384</v>
      </c>
      <c r="AM76" s="25" t="s">
        <v>1385</v>
      </c>
      <c r="AN76" s="25" t="s">
        <v>463</v>
      </c>
      <c r="AO76" s="36" t="s">
        <v>1388</v>
      </c>
      <c r="AP76" s="25" t="s">
        <v>486</v>
      </c>
      <c r="AQ76" s="23">
        <v>46276.0</v>
      </c>
      <c r="AR76" s="24" t="s">
        <v>190</v>
      </c>
      <c r="AS76" s="25" t="s">
        <v>193</v>
      </c>
      <c r="AT76" s="25" t="s">
        <v>1389</v>
      </c>
      <c r="AU76" s="25" t="s">
        <v>1390</v>
      </c>
    </row>
    <row r="77" ht="21.75" customHeight="1">
      <c r="A77" s="26">
        <v>1.0</v>
      </c>
      <c r="B77" s="26" t="s">
        <v>66</v>
      </c>
      <c r="C77" s="27" t="s">
        <v>83</v>
      </c>
      <c r="D77" s="27" t="s">
        <v>101</v>
      </c>
      <c r="E77" s="26" t="s">
        <v>66</v>
      </c>
      <c r="F77" s="26">
        <v>22.0</v>
      </c>
      <c r="G77" s="26">
        <v>43000.0</v>
      </c>
      <c r="H77" s="26">
        <v>84.1</v>
      </c>
      <c r="I77" s="26" t="s">
        <v>128</v>
      </c>
      <c r="J77" s="27"/>
      <c r="K77" s="27" t="s">
        <v>248</v>
      </c>
      <c r="L77" s="27" t="s">
        <v>1391</v>
      </c>
      <c r="M77" s="26" t="s">
        <v>95</v>
      </c>
      <c r="N77" s="28" t="s">
        <v>406</v>
      </c>
      <c r="O77" s="28" t="s">
        <v>407</v>
      </c>
      <c r="P77" s="29">
        <v>28.4089</v>
      </c>
      <c r="Q77" s="29">
        <v>77.3178</v>
      </c>
      <c r="R77" s="29">
        <v>1974.0</v>
      </c>
      <c r="S77" s="28" t="s">
        <v>299</v>
      </c>
      <c r="T77" s="29">
        <v>104340.0</v>
      </c>
      <c r="U77" s="29">
        <v>382577.0</v>
      </c>
      <c r="V77" s="29">
        <v>57186.0</v>
      </c>
      <c r="W77" s="29">
        <v>439763.0</v>
      </c>
      <c r="X77" s="29">
        <v>65.0</v>
      </c>
      <c r="Y77" s="29">
        <v>4334.23</v>
      </c>
      <c r="Z77" s="29">
        <v>84.0</v>
      </c>
      <c r="AA77" s="29">
        <v>4828552.0</v>
      </c>
      <c r="AB77" s="29">
        <v>52614.0</v>
      </c>
      <c r="AC77" s="29">
        <v>101.4627742</v>
      </c>
      <c r="AD77" s="29">
        <v>67.0</v>
      </c>
      <c r="AE77" s="30" t="s">
        <v>1392</v>
      </c>
      <c r="AF77" s="30" t="s">
        <v>88</v>
      </c>
      <c r="AG77" s="30" t="s">
        <v>319</v>
      </c>
      <c r="AH77" s="30" t="s">
        <v>72</v>
      </c>
      <c r="AI77" s="30" t="s">
        <v>72</v>
      </c>
      <c r="AJ77" s="28" t="s">
        <v>333</v>
      </c>
      <c r="AK77" s="28" t="s">
        <v>1393</v>
      </c>
      <c r="AL77" s="28" t="s">
        <v>1394</v>
      </c>
      <c r="AM77" s="28" t="s">
        <v>1395</v>
      </c>
      <c r="AN77" s="28" t="s">
        <v>1396</v>
      </c>
      <c r="AO77" s="99" t="s">
        <v>414</v>
      </c>
      <c r="AP77" s="28" t="s">
        <v>176</v>
      </c>
      <c r="AQ77" s="31">
        <v>46204.0</v>
      </c>
      <c r="AR77" s="32" t="s">
        <v>237</v>
      </c>
      <c r="AS77" s="28" t="s">
        <v>240</v>
      </c>
      <c r="AT77" s="28" t="s">
        <v>242</v>
      </c>
      <c r="AU77" s="28"/>
    </row>
    <row r="78" ht="18.75" customHeight="1">
      <c r="A78" s="40">
        <v>2.0</v>
      </c>
      <c r="B78" s="40"/>
      <c r="C78" s="41" t="s">
        <v>996</v>
      </c>
      <c r="D78" s="42"/>
      <c r="E78" s="40" t="s">
        <v>88</v>
      </c>
      <c r="F78" s="40">
        <v>1.0</v>
      </c>
      <c r="G78" s="40">
        <v>750.0</v>
      </c>
      <c r="H78" s="40"/>
      <c r="I78" s="40" t="s">
        <v>128</v>
      </c>
      <c r="J78" s="42"/>
      <c r="K78" s="42" t="s">
        <v>94</v>
      </c>
      <c r="L78" s="42"/>
      <c r="M78" s="42" t="s">
        <v>95</v>
      </c>
      <c r="N78" s="43" t="s">
        <v>406</v>
      </c>
      <c r="O78" s="43" t="s">
        <v>407</v>
      </c>
      <c r="P78" s="44">
        <v>28.4089</v>
      </c>
      <c r="Q78" s="44">
        <v>77.3178</v>
      </c>
      <c r="R78" s="82">
        <v>1974.0</v>
      </c>
      <c r="S78" s="81" t="s">
        <v>104</v>
      </c>
      <c r="T78" s="90" t="s">
        <v>105</v>
      </c>
      <c r="U78" s="45" t="s">
        <v>105</v>
      </c>
      <c r="V78" s="45" t="s">
        <v>105</v>
      </c>
      <c r="W78" s="45" t="s">
        <v>105</v>
      </c>
      <c r="X78" s="45" t="s">
        <v>105</v>
      </c>
      <c r="Y78" s="45" t="s">
        <v>105</v>
      </c>
      <c r="Z78" s="45" t="s">
        <v>105</v>
      </c>
      <c r="AA78" s="45" t="s">
        <v>105</v>
      </c>
      <c r="AB78" s="45" t="s">
        <v>105</v>
      </c>
      <c r="AC78" s="83" t="s">
        <v>105</v>
      </c>
      <c r="AD78" s="45" t="s">
        <v>105</v>
      </c>
      <c r="AE78" s="45" t="s">
        <v>218</v>
      </c>
      <c r="AF78" s="45" t="s">
        <v>105</v>
      </c>
      <c r="AG78" s="83" t="s">
        <v>319</v>
      </c>
      <c r="AH78" s="100" t="s">
        <v>72</v>
      </c>
      <c r="AI78" s="100" t="s">
        <v>72</v>
      </c>
      <c r="AJ78" s="59" t="s">
        <v>1397</v>
      </c>
      <c r="AK78" s="45" t="s">
        <v>1398</v>
      </c>
      <c r="AL78" s="45" t="s">
        <v>1399</v>
      </c>
      <c r="AM78" s="45" t="s">
        <v>1400</v>
      </c>
      <c r="AN78" s="45" t="s">
        <v>1401</v>
      </c>
      <c r="AO78" s="65" t="s">
        <v>1402</v>
      </c>
      <c r="AP78" s="43" t="s">
        <v>176</v>
      </c>
      <c r="AQ78" s="55">
        <v>46267.0</v>
      </c>
      <c r="AR78" s="49" t="s">
        <v>355</v>
      </c>
      <c r="AS78" s="43" t="s">
        <v>193</v>
      </c>
      <c r="AT78" s="43" t="s">
        <v>1403</v>
      </c>
      <c r="AU78" s="89" t="s">
        <v>197</v>
      </c>
    </row>
    <row r="79" ht="18.0" hidden="1" customHeight="1">
      <c r="A79" s="12">
        <v>2.0</v>
      </c>
      <c r="B79" s="12"/>
      <c r="C79" s="13" t="s">
        <v>1140</v>
      </c>
      <c r="D79" s="13"/>
      <c r="E79" s="12" t="s">
        <v>88</v>
      </c>
      <c r="F79" s="12">
        <v>1.0</v>
      </c>
      <c r="G79" s="12">
        <v>250.0</v>
      </c>
      <c r="H79" s="12"/>
      <c r="I79" s="12" t="s">
        <v>92</v>
      </c>
      <c r="J79" s="13"/>
      <c r="K79" s="13" t="s">
        <v>94</v>
      </c>
      <c r="L79" s="13"/>
      <c r="M79" s="12" t="s">
        <v>95</v>
      </c>
      <c r="N79" s="14" t="s">
        <v>97</v>
      </c>
      <c r="O79" s="14" t="s">
        <v>100</v>
      </c>
      <c r="P79" s="15">
        <v>11.1085</v>
      </c>
      <c r="Q79" s="15">
        <v>77.3411</v>
      </c>
      <c r="R79" s="15">
        <v>2010.0</v>
      </c>
      <c r="S79" s="14" t="s">
        <v>104</v>
      </c>
      <c r="T79" s="15">
        <v>230.0</v>
      </c>
      <c r="U79" s="14" t="s">
        <v>105</v>
      </c>
      <c r="V79" s="14" t="s">
        <v>105</v>
      </c>
      <c r="W79" s="14" t="s">
        <v>105</v>
      </c>
      <c r="X79" s="14" t="s">
        <v>105</v>
      </c>
      <c r="Y79" s="14" t="s">
        <v>105</v>
      </c>
      <c r="Z79" s="14" t="s">
        <v>105</v>
      </c>
      <c r="AA79" s="14" t="s">
        <v>105</v>
      </c>
      <c r="AB79" s="14" t="s">
        <v>105</v>
      </c>
      <c r="AC79" s="14" t="s">
        <v>105</v>
      </c>
      <c r="AD79" s="14" t="s">
        <v>105</v>
      </c>
      <c r="AE79" s="14" t="s">
        <v>105</v>
      </c>
      <c r="AF79" s="14" t="s">
        <v>105</v>
      </c>
      <c r="AG79" s="14" t="s">
        <v>105</v>
      </c>
      <c r="AH79" s="101" t="s">
        <v>72</v>
      </c>
      <c r="AI79" s="102" t="s">
        <v>72</v>
      </c>
      <c r="AJ79" s="14" t="s">
        <v>1404</v>
      </c>
      <c r="AK79" s="14" t="s">
        <v>1405</v>
      </c>
      <c r="AL79" s="14" t="s">
        <v>302</v>
      </c>
      <c r="AM79" s="14" t="s">
        <v>1406</v>
      </c>
      <c r="AN79" s="14" t="s">
        <v>139</v>
      </c>
      <c r="AO79" s="68" t="s">
        <v>1407</v>
      </c>
      <c r="AP79" s="25" t="s">
        <v>284</v>
      </c>
      <c r="AQ79" s="23">
        <v>46277.0</v>
      </c>
      <c r="AR79" s="24" t="s">
        <v>190</v>
      </c>
      <c r="AS79" s="25" t="s">
        <v>193</v>
      </c>
      <c r="AT79" s="25" t="s">
        <v>1408</v>
      </c>
      <c r="AU79" s="14" t="s">
        <v>1339</v>
      </c>
    </row>
    <row r="80" ht="24.0" hidden="1" customHeight="1">
      <c r="A80" s="12">
        <v>2.0</v>
      </c>
      <c r="B80" s="12"/>
      <c r="C80" s="13" t="s">
        <v>1143</v>
      </c>
      <c r="D80" s="13"/>
      <c r="E80" s="12" t="s">
        <v>88</v>
      </c>
      <c r="F80" s="12">
        <v>1.0</v>
      </c>
      <c r="G80" s="12">
        <v>250.0</v>
      </c>
      <c r="H80" s="12">
        <v>64.1</v>
      </c>
      <c r="I80" s="12" t="s">
        <v>92</v>
      </c>
      <c r="J80" s="13"/>
      <c r="K80" s="13" t="s">
        <v>156</v>
      </c>
      <c r="L80" s="13" t="s">
        <v>697</v>
      </c>
      <c r="M80" s="12" t="s">
        <v>95</v>
      </c>
      <c r="N80" s="14" t="s">
        <v>698</v>
      </c>
      <c r="O80" s="14" t="s">
        <v>699</v>
      </c>
      <c r="P80" s="15">
        <v>26.9124</v>
      </c>
      <c r="Q80" s="15">
        <v>75.7873</v>
      </c>
      <c r="R80" s="15">
        <v>1992.0</v>
      </c>
      <c r="S80" s="14" t="s">
        <v>104</v>
      </c>
      <c r="T80" s="53">
        <v>1400.0</v>
      </c>
      <c r="U80" s="14" t="s">
        <v>105</v>
      </c>
      <c r="V80" s="14" t="s">
        <v>105</v>
      </c>
      <c r="W80" s="14" t="s">
        <v>105</v>
      </c>
      <c r="X80" s="14" t="s">
        <v>105</v>
      </c>
      <c r="Y80" s="14" t="s">
        <v>105</v>
      </c>
      <c r="Z80" s="14" t="s">
        <v>105</v>
      </c>
      <c r="AA80" s="14" t="s">
        <v>105</v>
      </c>
      <c r="AB80" s="14" t="s">
        <v>105</v>
      </c>
      <c r="AC80" s="14" t="s">
        <v>105</v>
      </c>
      <c r="AD80" s="14" t="s">
        <v>105</v>
      </c>
      <c r="AE80" s="14" t="s">
        <v>105</v>
      </c>
      <c r="AF80" s="14" t="s">
        <v>105</v>
      </c>
      <c r="AG80" s="14" t="s">
        <v>105</v>
      </c>
      <c r="AH80" s="103" t="s">
        <v>88</v>
      </c>
      <c r="AI80" s="103" t="s">
        <v>88</v>
      </c>
      <c r="AJ80" s="14" t="s">
        <v>105</v>
      </c>
      <c r="AK80" s="14" t="s">
        <v>105</v>
      </c>
      <c r="AL80" s="14" t="s">
        <v>1409</v>
      </c>
      <c r="AM80" s="14" t="s">
        <v>1410</v>
      </c>
      <c r="AN80" s="14" t="s">
        <v>706</v>
      </c>
      <c r="AO80" s="22" t="s">
        <v>1411</v>
      </c>
      <c r="AP80" s="25" t="s">
        <v>284</v>
      </c>
      <c r="AQ80" s="37">
        <v>46277.0</v>
      </c>
      <c r="AR80" s="24" t="s">
        <v>190</v>
      </c>
      <c r="AS80" s="25" t="s">
        <v>193</v>
      </c>
      <c r="AT80" s="25" t="s">
        <v>1412</v>
      </c>
      <c r="AU80" s="69" t="s">
        <v>1413</v>
      </c>
    </row>
    <row r="81" ht="30.0" customHeight="1">
      <c r="A81" s="40">
        <v>2.0</v>
      </c>
      <c r="B81" s="40"/>
      <c r="C81" s="41" t="s">
        <v>1414</v>
      </c>
      <c r="D81" s="42"/>
      <c r="E81" s="40" t="s">
        <v>88</v>
      </c>
      <c r="F81" s="40">
        <v>1.0</v>
      </c>
      <c r="G81" s="40">
        <v>750.0</v>
      </c>
      <c r="H81" s="40"/>
      <c r="I81" s="40" t="s">
        <v>91</v>
      </c>
      <c r="J81" s="42"/>
      <c r="K81" s="42" t="s">
        <v>94</v>
      </c>
      <c r="L81" s="42"/>
      <c r="M81" s="42" t="s">
        <v>95</v>
      </c>
      <c r="N81" s="89" t="s">
        <v>406</v>
      </c>
      <c r="O81" s="89" t="s">
        <v>407</v>
      </c>
      <c r="P81" s="44">
        <v>28.4089</v>
      </c>
      <c r="Q81" s="44">
        <v>77.3178</v>
      </c>
      <c r="R81" s="90">
        <v>1974.0</v>
      </c>
      <c r="S81" s="83" t="s">
        <v>104</v>
      </c>
      <c r="T81" s="90" t="s">
        <v>105</v>
      </c>
      <c r="U81" s="83" t="s">
        <v>105</v>
      </c>
      <c r="V81" s="83" t="s">
        <v>105</v>
      </c>
      <c r="W81" s="83" t="s">
        <v>105</v>
      </c>
      <c r="X81" s="83" t="s">
        <v>105</v>
      </c>
      <c r="Y81" s="83" t="s">
        <v>105</v>
      </c>
      <c r="Z81" s="83" t="s">
        <v>105</v>
      </c>
      <c r="AA81" s="83" t="s">
        <v>105</v>
      </c>
      <c r="AB81" s="83" t="s">
        <v>105</v>
      </c>
      <c r="AC81" s="83" t="s">
        <v>105</v>
      </c>
      <c r="AD81" s="83" t="s">
        <v>105</v>
      </c>
      <c r="AE81" s="45" t="s">
        <v>218</v>
      </c>
      <c r="AF81" s="45" t="s">
        <v>105</v>
      </c>
      <c r="AG81" s="83" t="s">
        <v>319</v>
      </c>
      <c r="AH81" s="104" t="s">
        <v>88</v>
      </c>
      <c r="AI81" s="105" t="s">
        <v>72</v>
      </c>
      <c r="AJ81" s="59" t="s">
        <v>1397</v>
      </c>
      <c r="AK81" s="59" t="s">
        <v>1415</v>
      </c>
      <c r="AL81" s="59" t="s">
        <v>1399</v>
      </c>
      <c r="AM81" s="59" t="s">
        <v>1400</v>
      </c>
      <c r="AN81" s="45" t="s">
        <v>1401</v>
      </c>
      <c r="AO81" s="65" t="s">
        <v>1402</v>
      </c>
      <c r="AP81" s="43" t="s">
        <v>176</v>
      </c>
      <c r="AQ81" s="55">
        <v>46267.0</v>
      </c>
      <c r="AR81" s="49" t="s">
        <v>355</v>
      </c>
      <c r="AS81" s="43" t="s">
        <v>193</v>
      </c>
      <c r="AT81" s="43" t="s">
        <v>1403</v>
      </c>
      <c r="AU81" s="106" t="s">
        <v>197</v>
      </c>
    </row>
    <row r="82" ht="18.0" hidden="1" customHeight="1">
      <c r="A82" s="12">
        <v>2.0</v>
      </c>
      <c r="B82" s="12"/>
      <c r="C82" s="13" t="s">
        <v>1152</v>
      </c>
      <c r="D82" s="13"/>
      <c r="E82" s="12" t="s">
        <v>88</v>
      </c>
      <c r="F82" s="12">
        <v>1.0</v>
      </c>
      <c r="G82" s="12">
        <v>250.0</v>
      </c>
      <c r="H82" s="12"/>
      <c r="I82" s="12" t="s">
        <v>92</v>
      </c>
      <c r="J82" s="13"/>
      <c r="K82" s="13" t="s">
        <v>94</v>
      </c>
      <c r="L82" s="13"/>
      <c r="M82" s="12" t="s">
        <v>95</v>
      </c>
      <c r="N82" s="69" t="s">
        <v>678</v>
      </c>
      <c r="O82" s="69" t="s">
        <v>298</v>
      </c>
      <c r="P82" s="15">
        <v>12.9716</v>
      </c>
      <c r="Q82" s="15">
        <v>77.5946</v>
      </c>
      <c r="R82" s="78">
        <v>2004.0</v>
      </c>
      <c r="S82" s="14" t="s">
        <v>104</v>
      </c>
      <c r="T82" s="15">
        <v>750.0</v>
      </c>
      <c r="U82" s="14" t="s">
        <v>105</v>
      </c>
      <c r="V82" s="14" t="s">
        <v>105</v>
      </c>
      <c r="W82" s="14" t="s">
        <v>105</v>
      </c>
      <c r="X82" s="14" t="s">
        <v>105</v>
      </c>
      <c r="Y82" s="14" t="s">
        <v>105</v>
      </c>
      <c r="Z82" s="14" t="s">
        <v>105</v>
      </c>
      <c r="AA82" s="14" t="s">
        <v>105</v>
      </c>
      <c r="AB82" s="14" t="s">
        <v>105</v>
      </c>
      <c r="AC82" s="14" t="s">
        <v>105</v>
      </c>
      <c r="AD82" s="14" t="s">
        <v>105</v>
      </c>
      <c r="AE82" s="14" t="s">
        <v>105</v>
      </c>
      <c r="AF82" s="14" t="s">
        <v>105</v>
      </c>
      <c r="AG82" s="14" t="s">
        <v>105</v>
      </c>
      <c r="AH82" s="107" t="s">
        <v>88</v>
      </c>
      <c r="AI82" s="108" t="s">
        <v>88</v>
      </c>
      <c r="AJ82" s="14" t="s">
        <v>105</v>
      </c>
      <c r="AK82" s="14" t="s">
        <v>105</v>
      </c>
      <c r="AL82" s="14" t="s">
        <v>105</v>
      </c>
      <c r="AM82" s="14" t="s">
        <v>105</v>
      </c>
      <c r="AN82" s="14" t="s">
        <v>105</v>
      </c>
      <c r="AO82" s="36" t="s">
        <v>1416</v>
      </c>
      <c r="AP82" s="25" t="s">
        <v>284</v>
      </c>
      <c r="AQ82" s="37">
        <v>46277.0</v>
      </c>
      <c r="AR82" s="24" t="s">
        <v>190</v>
      </c>
      <c r="AS82" s="25" t="s">
        <v>193</v>
      </c>
      <c r="AT82" s="86" t="s">
        <v>1417</v>
      </c>
      <c r="AU82" s="69" t="s">
        <v>197</v>
      </c>
    </row>
    <row r="83" ht="21.0" hidden="1" customHeight="1">
      <c r="A83" s="12">
        <v>2.0</v>
      </c>
      <c r="B83" s="12"/>
      <c r="C83" s="13" t="s">
        <v>872</v>
      </c>
      <c r="D83" s="13"/>
      <c r="E83" s="12" t="s">
        <v>88</v>
      </c>
      <c r="F83" s="12">
        <v>3.0</v>
      </c>
      <c r="G83" s="12">
        <v>1750.0</v>
      </c>
      <c r="H83" s="12">
        <v>75.4</v>
      </c>
      <c r="I83" s="12" t="s">
        <v>92</v>
      </c>
      <c r="J83" s="13"/>
      <c r="K83" s="13" t="s">
        <v>93</v>
      </c>
      <c r="L83" s="13" t="s">
        <v>96</v>
      </c>
      <c r="M83" s="12" t="s">
        <v>95</v>
      </c>
      <c r="N83" s="25" t="s">
        <v>97</v>
      </c>
      <c r="O83" s="25" t="s">
        <v>100</v>
      </c>
      <c r="P83" s="33">
        <v>11.1085</v>
      </c>
      <c r="Q83" s="33">
        <v>77.3411</v>
      </c>
      <c r="R83" s="33">
        <v>1991.0</v>
      </c>
      <c r="S83" s="25" t="s">
        <v>775</v>
      </c>
      <c r="T83" s="33">
        <v>800.0</v>
      </c>
      <c r="U83" s="14" t="s">
        <v>105</v>
      </c>
      <c r="V83" s="14" t="s">
        <v>105</v>
      </c>
      <c r="W83" s="14" t="s">
        <v>105</v>
      </c>
      <c r="X83" s="14" t="s">
        <v>105</v>
      </c>
      <c r="Y83" s="14" t="s">
        <v>105</v>
      </c>
      <c r="Z83" s="14" t="s">
        <v>105</v>
      </c>
      <c r="AA83" s="14" t="s">
        <v>105</v>
      </c>
      <c r="AB83" s="14" t="s">
        <v>105</v>
      </c>
      <c r="AC83" s="14" t="s">
        <v>105</v>
      </c>
      <c r="AD83" s="14" t="s">
        <v>105</v>
      </c>
      <c r="AE83" s="14" t="s">
        <v>105</v>
      </c>
      <c r="AF83" s="107" t="s">
        <v>88</v>
      </c>
      <c r="AG83" s="14" t="s">
        <v>105</v>
      </c>
      <c r="AH83" s="109" t="s">
        <v>88</v>
      </c>
      <c r="AI83" s="109" t="s">
        <v>88</v>
      </c>
      <c r="AJ83" s="69" t="s">
        <v>1418</v>
      </c>
      <c r="AK83" s="14" t="s">
        <v>105</v>
      </c>
      <c r="AL83" s="25" t="s">
        <v>1419</v>
      </c>
      <c r="AM83" s="25" t="s">
        <v>1420</v>
      </c>
      <c r="AN83" s="14" t="s">
        <v>1421</v>
      </c>
      <c r="AO83" s="36" t="s">
        <v>1422</v>
      </c>
      <c r="AP83" s="14" t="s">
        <v>176</v>
      </c>
      <c r="AQ83" s="37">
        <v>46277.0</v>
      </c>
      <c r="AR83" s="24" t="s">
        <v>190</v>
      </c>
      <c r="AS83" s="25" t="s">
        <v>193</v>
      </c>
      <c r="AT83" s="25" t="s">
        <v>1423</v>
      </c>
      <c r="AU83" s="25" t="s">
        <v>1424</v>
      </c>
    </row>
    <row r="84" ht="16.5" hidden="1" customHeight="1">
      <c r="A84" s="12">
        <v>2.0</v>
      </c>
      <c r="B84" s="12"/>
      <c r="C84" s="13" t="s">
        <v>1166</v>
      </c>
      <c r="D84" s="13"/>
      <c r="E84" s="12" t="s">
        <v>88</v>
      </c>
      <c r="F84" s="12">
        <v>1.0</v>
      </c>
      <c r="G84" s="12">
        <v>250.0</v>
      </c>
      <c r="H84" s="12"/>
      <c r="I84" s="12" t="s">
        <v>91</v>
      </c>
      <c r="J84" s="13"/>
      <c r="K84" s="13" t="s">
        <v>156</v>
      </c>
      <c r="L84" s="13" t="s">
        <v>697</v>
      </c>
      <c r="M84" s="12" t="s">
        <v>95</v>
      </c>
      <c r="N84" s="69" t="s">
        <v>97</v>
      </c>
      <c r="O84" s="69" t="s">
        <v>100</v>
      </c>
      <c r="P84" s="15">
        <v>11.1085</v>
      </c>
      <c r="Q84" s="15">
        <v>77.3411</v>
      </c>
      <c r="R84" s="15">
        <v>2013.0</v>
      </c>
      <c r="S84" s="14" t="s">
        <v>104</v>
      </c>
      <c r="T84" s="15">
        <v>50.0</v>
      </c>
      <c r="U84" s="14" t="s">
        <v>105</v>
      </c>
      <c r="V84" s="14" t="s">
        <v>105</v>
      </c>
      <c r="W84" s="14" t="s">
        <v>105</v>
      </c>
      <c r="X84" s="14" t="s">
        <v>105</v>
      </c>
      <c r="Y84" s="14" t="s">
        <v>105</v>
      </c>
      <c r="Z84" s="14" t="s">
        <v>105</v>
      </c>
      <c r="AA84" s="14" t="s">
        <v>105</v>
      </c>
      <c r="AB84" s="14" t="s">
        <v>105</v>
      </c>
      <c r="AC84" s="14" t="s">
        <v>105</v>
      </c>
      <c r="AD84" s="14" t="s">
        <v>105</v>
      </c>
      <c r="AE84" s="14" t="s">
        <v>257</v>
      </c>
      <c r="AF84" s="14" t="s">
        <v>105</v>
      </c>
      <c r="AG84" s="14" t="s">
        <v>105</v>
      </c>
      <c r="AH84" s="110" t="s">
        <v>88</v>
      </c>
      <c r="AI84" s="110" t="s">
        <v>88</v>
      </c>
      <c r="AJ84" s="14" t="s">
        <v>105</v>
      </c>
      <c r="AK84" s="14" t="s">
        <v>105</v>
      </c>
      <c r="AL84" s="14" t="s">
        <v>1425</v>
      </c>
      <c r="AM84" s="14" t="s">
        <v>1426</v>
      </c>
      <c r="AN84" s="14" t="s">
        <v>97</v>
      </c>
      <c r="AO84" s="97" t="s">
        <v>1427</v>
      </c>
      <c r="AP84" s="25" t="s">
        <v>284</v>
      </c>
      <c r="AQ84" s="37">
        <v>46277.0</v>
      </c>
      <c r="AR84" s="24" t="s">
        <v>190</v>
      </c>
      <c r="AS84" s="25" t="s">
        <v>193</v>
      </c>
      <c r="AT84" s="86" t="s">
        <v>1428</v>
      </c>
      <c r="AU84" s="86" t="s">
        <v>197</v>
      </c>
    </row>
    <row r="85" ht="16.5" hidden="1" customHeight="1">
      <c r="A85" s="12">
        <v>2.0</v>
      </c>
      <c r="B85" s="12"/>
      <c r="C85" s="13" t="s">
        <v>1171</v>
      </c>
      <c r="D85" s="13"/>
      <c r="E85" s="12" t="s">
        <v>88</v>
      </c>
      <c r="F85" s="12">
        <v>1.0</v>
      </c>
      <c r="G85" s="12">
        <v>250.0</v>
      </c>
      <c r="H85" s="12">
        <v>5.6</v>
      </c>
      <c r="I85" s="12" t="s">
        <v>91</v>
      </c>
      <c r="J85" s="13"/>
      <c r="K85" s="13" t="s">
        <v>156</v>
      </c>
      <c r="L85" s="13" t="s">
        <v>697</v>
      </c>
      <c r="M85" s="12" t="s">
        <v>95</v>
      </c>
      <c r="N85" s="14" t="s">
        <v>439</v>
      </c>
      <c r="O85" s="14" t="s">
        <v>459</v>
      </c>
      <c r="P85" s="15">
        <v>28.8386</v>
      </c>
      <c r="Q85" s="15">
        <v>78.7733</v>
      </c>
      <c r="R85" s="78">
        <v>2009.0</v>
      </c>
      <c r="S85" s="14" t="s">
        <v>1429</v>
      </c>
      <c r="T85" s="15">
        <v>500.0</v>
      </c>
      <c r="U85" s="14" t="s">
        <v>105</v>
      </c>
      <c r="V85" s="14" t="s">
        <v>105</v>
      </c>
      <c r="W85" s="14" t="s">
        <v>105</v>
      </c>
      <c r="X85" s="14" t="s">
        <v>105</v>
      </c>
      <c r="Y85" s="14" t="s">
        <v>105</v>
      </c>
      <c r="Z85" s="14" t="s">
        <v>105</v>
      </c>
      <c r="AA85" s="14" t="s">
        <v>105</v>
      </c>
      <c r="AB85" s="14" t="s">
        <v>105</v>
      </c>
      <c r="AC85" s="14" t="s">
        <v>105</v>
      </c>
      <c r="AD85" s="14" t="s">
        <v>105</v>
      </c>
      <c r="AE85" s="14" t="s">
        <v>105</v>
      </c>
      <c r="AF85" s="14" t="s">
        <v>105</v>
      </c>
      <c r="AG85" s="14" t="s">
        <v>105</v>
      </c>
      <c r="AH85" s="103" t="s">
        <v>88</v>
      </c>
      <c r="AI85" s="103" t="s">
        <v>88</v>
      </c>
      <c r="AJ85" s="14" t="s">
        <v>105</v>
      </c>
      <c r="AK85" s="14" t="s">
        <v>105</v>
      </c>
      <c r="AL85" s="14" t="s">
        <v>1430</v>
      </c>
      <c r="AM85" s="14" t="s">
        <v>1431</v>
      </c>
      <c r="AN85" s="14" t="s">
        <v>439</v>
      </c>
      <c r="AO85" s="72" t="s">
        <v>1432</v>
      </c>
      <c r="AP85" s="25" t="s">
        <v>284</v>
      </c>
      <c r="AQ85" s="37">
        <v>46277.0</v>
      </c>
      <c r="AR85" s="24" t="s">
        <v>190</v>
      </c>
      <c r="AS85" s="25" t="s">
        <v>193</v>
      </c>
      <c r="AT85" s="86" t="s">
        <v>1433</v>
      </c>
      <c r="AU85" s="69" t="s">
        <v>1434</v>
      </c>
    </row>
    <row r="86" ht="16.5" hidden="1" customHeight="1">
      <c r="A86" s="40">
        <v>2.0</v>
      </c>
      <c r="B86" s="40"/>
      <c r="C86" s="41" t="s">
        <v>1148</v>
      </c>
      <c r="D86" s="42"/>
      <c r="E86" s="40" t="s">
        <v>88</v>
      </c>
      <c r="F86" s="40">
        <v>1.0</v>
      </c>
      <c r="G86" s="40">
        <v>250.0</v>
      </c>
      <c r="H86" s="40"/>
      <c r="I86" s="40" t="s">
        <v>92</v>
      </c>
      <c r="J86" s="42"/>
      <c r="K86" s="42" t="s">
        <v>94</v>
      </c>
      <c r="L86" s="42"/>
      <c r="M86" s="40" t="s">
        <v>95</v>
      </c>
      <c r="N86" s="59" t="s">
        <v>575</v>
      </c>
      <c r="O86" s="59" t="s">
        <v>100</v>
      </c>
      <c r="P86" s="60">
        <v>13.0827</v>
      </c>
      <c r="Q86" s="60">
        <v>80.2707</v>
      </c>
      <c r="R86" s="44">
        <v>1991.0</v>
      </c>
      <c r="S86" s="45" t="s">
        <v>104</v>
      </c>
      <c r="T86" s="60">
        <v>200.0</v>
      </c>
      <c r="U86" s="45" t="s">
        <v>105</v>
      </c>
      <c r="V86" s="45" t="s">
        <v>105</v>
      </c>
      <c r="W86" s="45" t="s">
        <v>105</v>
      </c>
      <c r="X86" s="45" t="s">
        <v>105</v>
      </c>
      <c r="Y86" s="45" t="s">
        <v>105</v>
      </c>
      <c r="Z86" s="45" t="s">
        <v>105</v>
      </c>
      <c r="AA86" s="45" t="s">
        <v>105</v>
      </c>
      <c r="AB86" s="45" t="s">
        <v>105</v>
      </c>
      <c r="AC86" s="45" t="s">
        <v>105</v>
      </c>
      <c r="AD86" s="45" t="s">
        <v>105</v>
      </c>
      <c r="AE86" s="45" t="s">
        <v>105</v>
      </c>
      <c r="AF86" s="104" t="s">
        <v>88</v>
      </c>
      <c r="AG86" s="45" t="s">
        <v>105</v>
      </c>
      <c r="AH86" s="104" t="s">
        <v>88</v>
      </c>
      <c r="AI86" s="111" t="s">
        <v>88</v>
      </c>
      <c r="AJ86" s="89" t="s">
        <v>1418</v>
      </c>
      <c r="AK86" s="45" t="s">
        <v>105</v>
      </c>
      <c r="AL86" s="43" t="s">
        <v>1419</v>
      </c>
      <c r="AM86" s="43" t="s">
        <v>1420</v>
      </c>
      <c r="AN86" s="45" t="s">
        <v>1421</v>
      </c>
      <c r="AO86" s="47" t="s">
        <v>1422</v>
      </c>
      <c r="AP86" s="45" t="s">
        <v>176</v>
      </c>
      <c r="AQ86" s="48">
        <v>46246.0</v>
      </c>
      <c r="AR86" s="49" t="s">
        <v>355</v>
      </c>
      <c r="AS86" s="43" t="s">
        <v>193</v>
      </c>
      <c r="AT86" s="93" t="s">
        <v>1435</v>
      </c>
      <c r="AU86" s="59" t="s">
        <v>197</v>
      </c>
    </row>
    <row r="87" ht="19.5" hidden="1" customHeight="1">
      <c r="A87" s="12">
        <v>2.0</v>
      </c>
      <c r="B87" s="12"/>
      <c r="C87" s="13" t="s">
        <v>1181</v>
      </c>
      <c r="D87" s="13"/>
      <c r="E87" s="12" t="s">
        <v>88</v>
      </c>
      <c r="F87" s="12">
        <v>1.0</v>
      </c>
      <c r="G87" s="12">
        <v>250.0</v>
      </c>
      <c r="H87" s="12"/>
      <c r="I87" s="12" t="s">
        <v>91</v>
      </c>
      <c r="J87" s="13"/>
      <c r="K87" s="13" t="s">
        <v>94</v>
      </c>
      <c r="L87" s="13"/>
      <c r="M87" s="12" t="s">
        <v>95</v>
      </c>
      <c r="N87" s="14" t="s">
        <v>1436</v>
      </c>
      <c r="O87" s="14" t="s">
        <v>407</v>
      </c>
      <c r="P87" s="15">
        <v>28.4595</v>
      </c>
      <c r="Q87" s="15">
        <v>77.0266</v>
      </c>
      <c r="R87" s="15">
        <v>1960.0</v>
      </c>
      <c r="S87" s="14" t="s">
        <v>1437</v>
      </c>
      <c r="T87" s="15" t="s">
        <v>105</v>
      </c>
      <c r="U87" s="14" t="s">
        <v>105</v>
      </c>
      <c r="V87" s="14" t="s">
        <v>105</v>
      </c>
      <c r="W87" s="14" t="s">
        <v>105</v>
      </c>
      <c r="X87" s="15" t="s">
        <v>105</v>
      </c>
      <c r="Y87" s="14" t="s">
        <v>105</v>
      </c>
      <c r="Z87" s="15" t="s">
        <v>105</v>
      </c>
      <c r="AA87" s="14" t="s">
        <v>105</v>
      </c>
      <c r="AB87" s="14" t="s">
        <v>105</v>
      </c>
      <c r="AC87" s="14" t="s">
        <v>105</v>
      </c>
      <c r="AD87" s="14" t="s">
        <v>105</v>
      </c>
      <c r="AE87" s="14" t="s">
        <v>105</v>
      </c>
      <c r="AF87" s="14" t="s">
        <v>105</v>
      </c>
      <c r="AG87" s="14" t="s">
        <v>105</v>
      </c>
      <c r="AH87" s="101" t="s">
        <v>88</v>
      </c>
      <c r="AI87" s="102" t="s">
        <v>88</v>
      </c>
      <c r="AJ87" s="112">
        <v>0.4</v>
      </c>
      <c r="AK87" s="14" t="s">
        <v>105</v>
      </c>
      <c r="AL87" s="14" t="s">
        <v>1438</v>
      </c>
      <c r="AM87" s="14" t="s">
        <v>1439</v>
      </c>
      <c r="AN87" s="14" t="s">
        <v>1440</v>
      </c>
      <c r="AO87" s="97" t="s">
        <v>1441</v>
      </c>
      <c r="AP87" s="25" t="s">
        <v>284</v>
      </c>
      <c r="AQ87" s="23">
        <v>46277.0</v>
      </c>
      <c r="AR87" s="24" t="s">
        <v>190</v>
      </c>
      <c r="AS87" s="25" t="s">
        <v>193</v>
      </c>
      <c r="AT87" s="86" t="s">
        <v>1442</v>
      </c>
      <c r="AU87" s="14" t="s">
        <v>1443</v>
      </c>
    </row>
    <row r="88" ht="21.0" hidden="1" customHeight="1">
      <c r="A88" s="12">
        <v>2.0</v>
      </c>
      <c r="B88" s="12"/>
      <c r="C88" s="13" t="s">
        <v>1187</v>
      </c>
      <c r="D88" s="13"/>
      <c r="E88" s="12" t="s">
        <v>88</v>
      </c>
      <c r="F88" s="12">
        <v>1.0</v>
      </c>
      <c r="G88" s="12">
        <v>250.0</v>
      </c>
      <c r="H88" s="12"/>
      <c r="I88" s="12" t="s">
        <v>91</v>
      </c>
      <c r="J88" s="13"/>
      <c r="K88" s="13" t="s">
        <v>94</v>
      </c>
      <c r="L88" s="13"/>
      <c r="M88" s="12" t="s">
        <v>95</v>
      </c>
      <c r="N88" s="14" t="s">
        <v>575</v>
      </c>
      <c r="O88" s="14" t="s">
        <v>100</v>
      </c>
      <c r="P88" s="15">
        <v>13.0827</v>
      </c>
      <c r="Q88" s="15">
        <v>80.2707</v>
      </c>
      <c r="R88" s="15">
        <v>1995.0</v>
      </c>
      <c r="S88" s="14" t="s">
        <v>104</v>
      </c>
      <c r="T88" s="53">
        <v>2700.0</v>
      </c>
      <c r="U88" s="14" t="s">
        <v>105</v>
      </c>
      <c r="V88" s="14" t="s">
        <v>105</v>
      </c>
      <c r="W88" s="14" t="s">
        <v>105</v>
      </c>
      <c r="X88" s="14" t="s">
        <v>105</v>
      </c>
      <c r="Y88" s="14" t="s">
        <v>105</v>
      </c>
      <c r="Z88" s="14" t="s">
        <v>105</v>
      </c>
      <c r="AA88" s="14" t="s">
        <v>105</v>
      </c>
      <c r="AB88" s="14" t="s">
        <v>105</v>
      </c>
      <c r="AC88" s="14" t="s">
        <v>105</v>
      </c>
      <c r="AD88" s="14" t="s">
        <v>105</v>
      </c>
      <c r="AE88" s="14" t="s">
        <v>105</v>
      </c>
      <c r="AF88" s="14" t="s">
        <v>105</v>
      </c>
      <c r="AG88" s="14" t="s">
        <v>105</v>
      </c>
      <c r="AH88" s="101" t="s">
        <v>88</v>
      </c>
      <c r="AI88" s="102" t="s">
        <v>88</v>
      </c>
      <c r="AJ88" s="14" t="s">
        <v>105</v>
      </c>
      <c r="AK88" s="14" t="s">
        <v>105</v>
      </c>
      <c r="AL88" s="14" t="s">
        <v>1444</v>
      </c>
      <c r="AM88" s="14" t="s">
        <v>1445</v>
      </c>
      <c r="AN88" s="14" t="s">
        <v>1446</v>
      </c>
      <c r="AO88" s="77" t="s">
        <v>1447</v>
      </c>
      <c r="AP88" s="25" t="s">
        <v>284</v>
      </c>
      <c r="AQ88" s="23">
        <v>46277.0</v>
      </c>
      <c r="AR88" s="24" t="s">
        <v>190</v>
      </c>
      <c r="AS88" s="25" t="s">
        <v>193</v>
      </c>
      <c r="AT88" s="86" t="s">
        <v>1448</v>
      </c>
      <c r="AU88" s="14" t="s">
        <v>1449</v>
      </c>
    </row>
    <row r="89" ht="15.0" hidden="1" customHeight="1">
      <c r="A89" s="12">
        <v>2.0</v>
      </c>
      <c r="B89" s="12"/>
      <c r="C89" s="13" t="s">
        <v>1194</v>
      </c>
      <c r="D89" s="13"/>
      <c r="E89" s="12" t="s">
        <v>88</v>
      </c>
      <c r="F89" s="12">
        <v>1.0</v>
      </c>
      <c r="G89" s="12">
        <v>250.0</v>
      </c>
      <c r="H89" s="12"/>
      <c r="I89" s="12" t="s">
        <v>91</v>
      </c>
      <c r="J89" s="13"/>
      <c r="K89" s="13" t="s">
        <v>94</v>
      </c>
      <c r="L89" s="13"/>
      <c r="M89" s="12" t="s">
        <v>95</v>
      </c>
      <c r="N89" s="14" t="s">
        <v>1180</v>
      </c>
      <c r="O89" s="14" t="s">
        <v>100</v>
      </c>
      <c r="P89" s="15">
        <v>12.9271</v>
      </c>
      <c r="Q89" s="15">
        <v>79.3331</v>
      </c>
      <c r="R89" s="15">
        <v>2004.0</v>
      </c>
      <c r="S89" s="14" t="s">
        <v>104</v>
      </c>
      <c r="T89" s="15">
        <v>20.0</v>
      </c>
      <c r="U89" s="14" t="s">
        <v>105</v>
      </c>
      <c r="V89" s="14" t="s">
        <v>105</v>
      </c>
      <c r="W89" s="14" t="s">
        <v>105</v>
      </c>
      <c r="X89" s="14" t="s">
        <v>105</v>
      </c>
      <c r="Y89" s="14" t="s">
        <v>105</v>
      </c>
      <c r="Z89" s="14" t="s">
        <v>105</v>
      </c>
      <c r="AA89" s="14" t="s">
        <v>105</v>
      </c>
      <c r="AB89" s="14" t="s">
        <v>105</v>
      </c>
      <c r="AC89" s="14" t="s">
        <v>105</v>
      </c>
      <c r="AD89" s="14" t="s">
        <v>105</v>
      </c>
      <c r="AE89" s="14" t="s">
        <v>105</v>
      </c>
      <c r="AF89" s="14" t="s">
        <v>105</v>
      </c>
      <c r="AG89" s="14" t="s">
        <v>105</v>
      </c>
      <c r="AH89" s="103" t="s">
        <v>88</v>
      </c>
      <c r="AI89" s="103" t="s">
        <v>88</v>
      </c>
      <c r="AJ89" s="14" t="s">
        <v>105</v>
      </c>
      <c r="AK89" s="14" t="s">
        <v>105</v>
      </c>
      <c r="AL89" s="14" t="s">
        <v>1450</v>
      </c>
      <c r="AM89" s="14" t="s">
        <v>1451</v>
      </c>
      <c r="AN89" s="14" t="s">
        <v>1180</v>
      </c>
      <c r="AO89" s="72" t="s">
        <v>1452</v>
      </c>
      <c r="AP89" s="25" t="s">
        <v>284</v>
      </c>
      <c r="AQ89" s="23">
        <v>46277.0</v>
      </c>
      <c r="AR89" s="24" t="s">
        <v>190</v>
      </c>
      <c r="AS89" s="25" t="s">
        <v>193</v>
      </c>
      <c r="AT89" s="69" t="s">
        <v>1453</v>
      </c>
      <c r="AU89" s="69" t="s">
        <v>1454</v>
      </c>
    </row>
    <row r="90" ht="20.25" hidden="1" customHeight="1">
      <c r="A90" s="12">
        <v>2.0</v>
      </c>
      <c r="B90" s="12"/>
      <c r="C90" s="13" t="s">
        <v>1198</v>
      </c>
      <c r="D90" s="13"/>
      <c r="E90" s="12" t="s">
        <v>88</v>
      </c>
      <c r="F90" s="12">
        <v>1.0</v>
      </c>
      <c r="G90" s="12">
        <v>250.0</v>
      </c>
      <c r="H90" s="12"/>
      <c r="I90" s="12" t="s">
        <v>91</v>
      </c>
      <c r="J90" s="13"/>
      <c r="K90" s="13" t="s">
        <v>94</v>
      </c>
      <c r="L90" s="13"/>
      <c r="M90" s="12" t="s">
        <v>95</v>
      </c>
      <c r="N90" s="14" t="s">
        <v>1455</v>
      </c>
      <c r="O90" s="14" t="s">
        <v>100</v>
      </c>
      <c r="P90" s="33">
        <v>11.1914</v>
      </c>
      <c r="Q90" s="33">
        <v>77.2689</v>
      </c>
      <c r="R90" s="15">
        <v>1989.0</v>
      </c>
      <c r="S90" s="14" t="s">
        <v>104</v>
      </c>
      <c r="T90" s="53">
        <v>3000.0</v>
      </c>
      <c r="U90" s="14" t="s">
        <v>105</v>
      </c>
      <c r="V90" s="14" t="s">
        <v>105</v>
      </c>
      <c r="W90" s="14" t="s">
        <v>105</v>
      </c>
      <c r="X90" s="15" t="s">
        <v>105</v>
      </c>
      <c r="Y90" s="14" t="s">
        <v>105</v>
      </c>
      <c r="Z90" s="15" t="s">
        <v>105</v>
      </c>
      <c r="AA90" s="14" t="s">
        <v>105</v>
      </c>
      <c r="AB90" s="14" t="s">
        <v>105</v>
      </c>
      <c r="AC90" s="14" t="s">
        <v>105</v>
      </c>
      <c r="AD90" s="14" t="s">
        <v>105</v>
      </c>
      <c r="AE90" s="113" t="s">
        <v>576</v>
      </c>
      <c r="AF90" s="14" t="s">
        <v>105</v>
      </c>
      <c r="AG90" s="14" t="s">
        <v>105</v>
      </c>
      <c r="AH90" s="34" t="s">
        <v>88</v>
      </c>
      <c r="AI90" s="34" t="s">
        <v>88</v>
      </c>
      <c r="AJ90" s="14" t="s">
        <v>1456</v>
      </c>
      <c r="AK90" s="14" t="s">
        <v>105</v>
      </c>
      <c r="AL90" s="14" t="s">
        <v>1457</v>
      </c>
      <c r="AM90" s="14" t="s">
        <v>1458</v>
      </c>
      <c r="AN90" s="14" t="s">
        <v>97</v>
      </c>
      <c r="AO90" s="97" t="s">
        <v>1459</v>
      </c>
      <c r="AP90" s="25" t="s">
        <v>284</v>
      </c>
      <c r="AQ90" s="23">
        <v>46277.0</v>
      </c>
      <c r="AR90" s="24" t="s">
        <v>190</v>
      </c>
      <c r="AS90" s="25" t="s">
        <v>193</v>
      </c>
      <c r="AT90" s="86" t="s">
        <v>1460</v>
      </c>
      <c r="AU90" s="14" t="s">
        <v>1461</v>
      </c>
    </row>
    <row r="91" ht="18.0" hidden="1" customHeight="1">
      <c r="A91" s="12">
        <v>2.0</v>
      </c>
      <c r="B91" s="12"/>
      <c r="C91" s="13" t="s">
        <v>1201</v>
      </c>
      <c r="D91" s="13"/>
      <c r="E91" s="12" t="s">
        <v>88</v>
      </c>
      <c r="F91" s="12">
        <v>1.0</v>
      </c>
      <c r="G91" s="12">
        <v>250.0</v>
      </c>
      <c r="H91" s="12"/>
      <c r="I91" s="12" t="s">
        <v>91</v>
      </c>
      <c r="J91" s="13"/>
      <c r="K91" s="13" t="s">
        <v>94</v>
      </c>
      <c r="L91" s="13"/>
      <c r="M91" s="12" t="s">
        <v>95</v>
      </c>
      <c r="N91" s="14" t="s">
        <v>575</v>
      </c>
      <c r="O91" s="14" t="s">
        <v>100</v>
      </c>
      <c r="P91" s="15">
        <v>13.0827</v>
      </c>
      <c r="Q91" s="15">
        <v>80.2707</v>
      </c>
      <c r="R91" s="15">
        <v>1999.0</v>
      </c>
      <c r="S91" s="14" t="s">
        <v>1462</v>
      </c>
      <c r="T91" s="15">
        <v>200.0</v>
      </c>
      <c r="U91" s="14" t="s">
        <v>105</v>
      </c>
      <c r="V91" s="14" t="s">
        <v>105</v>
      </c>
      <c r="W91" s="14" t="s">
        <v>105</v>
      </c>
      <c r="X91" s="14" t="s">
        <v>105</v>
      </c>
      <c r="Y91" s="14" t="s">
        <v>105</v>
      </c>
      <c r="Z91" s="14" t="s">
        <v>105</v>
      </c>
      <c r="AA91" s="14" t="s">
        <v>105</v>
      </c>
      <c r="AB91" s="14" t="s">
        <v>105</v>
      </c>
      <c r="AC91" s="14" t="s">
        <v>105</v>
      </c>
      <c r="AD91" s="14" t="s">
        <v>105</v>
      </c>
      <c r="AE91" s="14" t="s">
        <v>105</v>
      </c>
      <c r="AF91" s="14" t="s">
        <v>105</v>
      </c>
      <c r="AG91" s="14" t="s">
        <v>105</v>
      </c>
      <c r="AH91" s="103" t="s">
        <v>88</v>
      </c>
      <c r="AI91" s="103" t="s">
        <v>88</v>
      </c>
      <c r="AJ91" s="14" t="s">
        <v>105</v>
      </c>
      <c r="AK91" s="14" t="s">
        <v>105</v>
      </c>
      <c r="AL91" s="14" t="s">
        <v>1463</v>
      </c>
      <c r="AM91" s="14" t="s">
        <v>1464</v>
      </c>
      <c r="AN91" s="14" t="s">
        <v>1465</v>
      </c>
      <c r="AO91" s="68" t="s">
        <v>1466</v>
      </c>
      <c r="AP91" s="25" t="s">
        <v>284</v>
      </c>
      <c r="AQ91" s="23">
        <v>46277.0</v>
      </c>
      <c r="AR91" s="24" t="s">
        <v>190</v>
      </c>
      <c r="AS91" s="25" t="s">
        <v>193</v>
      </c>
      <c r="AT91" s="69" t="s">
        <v>1467</v>
      </c>
      <c r="AU91" s="69" t="s">
        <v>197</v>
      </c>
    </row>
    <row r="92" ht="22.5" hidden="1" customHeight="1">
      <c r="A92" s="12">
        <v>2.0</v>
      </c>
      <c r="B92" s="12"/>
      <c r="C92" s="13" t="s">
        <v>1206</v>
      </c>
      <c r="D92" s="13"/>
      <c r="E92" s="12" t="s">
        <v>88</v>
      </c>
      <c r="F92" s="12">
        <v>1.0</v>
      </c>
      <c r="G92" s="12">
        <v>250.0</v>
      </c>
      <c r="H92" s="12">
        <v>12.5</v>
      </c>
      <c r="I92" s="12" t="s">
        <v>91</v>
      </c>
      <c r="J92" s="13"/>
      <c r="K92" s="13" t="s">
        <v>534</v>
      </c>
      <c r="L92" s="13" t="s">
        <v>593</v>
      </c>
      <c r="M92" s="12" t="s">
        <v>95</v>
      </c>
      <c r="N92" s="14" t="s">
        <v>1468</v>
      </c>
      <c r="O92" s="14" t="s">
        <v>504</v>
      </c>
      <c r="P92" s="15">
        <v>9.6845</v>
      </c>
      <c r="Q92" s="15">
        <v>76.3316</v>
      </c>
      <c r="R92" s="15">
        <v>2000.0</v>
      </c>
      <c r="S92" s="69" t="s">
        <v>1469</v>
      </c>
      <c r="T92" s="15" t="s">
        <v>105</v>
      </c>
      <c r="U92" s="14" t="s">
        <v>105</v>
      </c>
      <c r="V92" s="14" t="s">
        <v>105</v>
      </c>
      <c r="W92" s="14" t="s">
        <v>105</v>
      </c>
      <c r="X92" s="14" t="s">
        <v>105</v>
      </c>
      <c r="Y92" s="14" t="s">
        <v>105</v>
      </c>
      <c r="Z92" s="14" t="s">
        <v>105</v>
      </c>
      <c r="AA92" s="14" t="s">
        <v>105</v>
      </c>
      <c r="AB92" s="14" t="s">
        <v>105</v>
      </c>
      <c r="AC92" s="14" t="s">
        <v>105</v>
      </c>
      <c r="AD92" s="14" t="s">
        <v>105</v>
      </c>
      <c r="AE92" s="14" t="s">
        <v>105</v>
      </c>
      <c r="AF92" s="14" t="s">
        <v>105</v>
      </c>
      <c r="AG92" s="14" t="s">
        <v>105</v>
      </c>
      <c r="AH92" s="103" t="s">
        <v>88</v>
      </c>
      <c r="AI92" s="103" t="s">
        <v>88</v>
      </c>
      <c r="AJ92" s="14" t="s">
        <v>105</v>
      </c>
      <c r="AK92" s="14" t="s">
        <v>105</v>
      </c>
      <c r="AL92" s="14" t="s">
        <v>1470</v>
      </c>
      <c r="AM92" s="14" t="s">
        <v>1471</v>
      </c>
      <c r="AN92" s="14" t="s">
        <v>1472</v>
      </c>
      <c r="AO92" s="22" t="s">
        <v>1473</v>
      </c>
      <c r="AP92" s="14" t="s">
        <v>284</v>
      </c>
      <c r="AQ92" s="23">
        <v>46277.0</v>
      </c>
      <c r="AR92" s="24" t="s">
        <v>190</v>
      </c>
      <c r="AS92" s="25" t="s">
        <v>193</v>
      </c>
      <c r="AT92" s="69" t="s">
        <v>1474</v>
      </c>
      <c r="AU92" s="14" t="s">
        <v>1475</v>
      </c>
    </row>
    <row r="93" ht="21.0" hidden="1" customHeight="1">
      <c r="A93" s="12">
        <v>2.0</v>
      </c>
      <c r="B93" s="12"/>
      <c r="C93" s="13" t="s">
        <v>1210</v>
      </c>
      <c r="D93" s="13"/>
      <c r="E93" s="12" t="s">
        <v>88</v>
      </c>
      <c r="F93" s="12">
        <v>1.0</v>
      </c>
      <c r="G93" s="12">
        <v>250.0</v>
      </c>
      <c r="H93" s="12"/>
      <c r="I93" s="12" t="s">
        <v>91</v>
      </c>
      <c r="J93" s="13"/>
      <c r="K93" s="13" t="s">
        <v>94</v>
      </c>
      <c r="L93" s="13"/>
      <c r="M93" s="12" t="s">
        <v>95</v>
      </c>
      <c r="N93" s="14" t="s">
        <v>575</v>
      </c>
      <c r="O93" s="14" t="s">
        <v>100</v>
      </c>
      <c r="P93" s="15">
        <v>13.0827</v>
      </c>
      <c r="Q93" s="15">
        <v>80.2707</v>
      </c>
      <c r="R93" s="15">
        <v>1950.0</v>
      </c>
      <c r="S93" s="14" t="s">
        <v>1476</v>
      </c>
      <c r="T93" s="15">
        <v>400.0</v>
      </c>
      <c r="U93" s="14" t="s">
        <v>105</v>
      </c>
      <c r="V93" s="14" t="s">
        <v>105</v>
      </c>
      <c r="W93" s="14" t="s">
        <v>105</v>
      </c>
      <c r="X93" s="14" t="s">
        <v>105</v>
      </c>
      <c r="Y93" s="14" t="s">
        <v>105</v>
      </c>
      <c r="Z93" s="14" t="s">
        <v>105</v>
      </c>
      <c r="AA93" s="14" t="s">
        <v>105</v>
      </c>
      <c r="AB93" s="14" t="s">
        <v>105</v>
      </c>
      <c r="AC93" s="14" t="s">
        <v>105</v>
      </c>
      <c r="AD93" s="14" t="s">
        <v>105</v>
      </c>
      <c r="AE93" s="14" t="s">
        <v>105</v>
      </c>
      <c r="AF93" s="14" t="s">
        <v>105</v>
      </c>
      <c r="AG93" s="14" t="s">
        <v>105</v>
      </c>
      <c r="AH93" s="103" t="s">
        <v>88</v>
      </c>
      <c r="AI93" s="103" t="s">
        <v>88</v>
      </c>
      <c r="AJ93" s="14" t="s">
        <v>105</v>
      </c>
      <c r="AK93" s="14" t="s">
        <v>105</v>
      </c>
      <c r="AL93" s="14" t="s">
        <v>1477</v>
      </c>
      <c r="AM93" s="14" t="s">
        <v>1478</v>
      </c>
      <c r="AN93" s="14" t="s">
        <v>1479</v>
      </c>
      <c r="AO93" s="22" t="s">
        <v>1480</v>
      </c>
      <c r="AP93" s="14" t="s">
        <v>176</v>
      </c>
      <c r="AQ93" s="23">
        <v>46277.0</v>
      </c>
      <c r="AR93" s="24" t="s">
        <v>190</v>
      </c>
      <c r="AS93" s="25" t="s">
        <v>193</v>
      </c>
      <c r="AT93" s="69" t="s">
        <v>1481</v>
      </c>
      <c r="AU93" s="69" t="s">
        <v>1482</v>
      </c>
    </row>
    <row r="94" ht="15.0" hidden="1" customHeight="1">
      <c r="A94" s="26">
        <v>2.0</v>
      </c>
      <c r="B94" s="26" t="s">
        <v>1483</v>
      </c>
      <c r="C94" s="27" t="s">
        <v>1217</v>
      </c>
      <c r="D94" s="27"/>
      <c r="E94" s="26" t="s">
        <v>1483</v>
      </c>
      <c r="F94" s="26">
        <v>1.0</v>
      </c>
      <c r="G94" s="26">
        <v>250.0</v>
      </c>
      <c r="H94" s="26"/>
      <c r="I94" s="26" t="s">
        <v>145</v>
      </c>
      <c r="J94" s="27"/>
      <c r="K94" s="27" t="s">
        <v>94</v>
      </c>
      <c r="L94" s="27"/>
      <c r="M94" s="26" t="s">
        <v>95</v>
      </c>
      <c r="N94" s="114" t="s">
        <v>206</v>
      </c>
      <c r="O94" s="114" t="s">
        <v>209</v>
      </c>
      <c r="P94" s="115">
        <v>23.0225</v>
      </c>
      <c r="Q94" s="115">
        <v>72.5714</v>
      </c>
      <c r="R94" s="115" t="s">
        <v>1484</v>
      </c>
      <c r="S94" s="114" t="s">
        <v>299</v>
      </c>
      <c r="T94" s="115">
        <v>1412.0</v>
      </c>
      <c r="U94" s="115">
        <v>147113.0</v>
      </c>
      <c r="V94" s="115">
        <v>1077.0</v>
      </c>
      <c r="W94" s="115">
        <v>148190.0</v>
      </c>
      <c r="X94" s="115">
        <v>0.71</v>
      </c>
      <c r="Y94" s="115">
        <v>181.46</v>
      </c>
      <c r="Z94" s="115" t="s">
        <v>105</v>
      </c>
      <c r="AA94" s="115">
        <v>99137.0</v>
      </c>
      <c r="AB94" s="115">
        <v>207.81</v>
      </c>
      <c r="AC94" s="115">
        <v>816.65</v>
      </c>
      <c r="AD94" s="115">
        <v>33.0</v>
      </c>
      <c r="AE94" s="116" t="s">
        <v>1315</v>
      </c>
      <c r="AF94" s="117" t="s">
        <v>88</v>
      </c>
      <c r="AG94" s="30" t="s">
        <v>105</v>
      </c>
      <c r="AH94" s="26" t="s">
        <v>88</v>
      </c>
      <c r="AI94" s="26" t="s">
        <v>72</v>
      </c>
      <c r="AJ94" s="118" t="s">
        <v>105</v>
      </c>
      <c r="AK94" s="118" t="s">
        <v>1485</v>
      </c>
      <c r="AL94" s="118" t="s">
        <v>1486</v>
      </c>
      <c r="AM94" s="118" t="s">
        <v>1487</v>
      </c>
      <c r="AN94" s="118" t="s">
        <v>1488</v>
      </c>
      <c r="AO94" s="118" t="s">
        <v>414</v>
      </c>
      <c r="AP94" s="114" t="s">
        <v>176</v>
      </c>
      <c r="AQ94" s="31">
        <v>46204.0</v>
      </c>
      <c r="AR94" s="76" t="s">
        <v>237</v>
      </c>
      <c r="AS94" s="114" t="s">
        <v>240</v>
      </c>
      <c r="AT94" s="118" t="s">
        <v>416</v>
      </c>
      <c r="AU94" s="118"/>
    </row>
    <row r="95" ht="18.0" hidden="1" customHeight="1">
      <c r="A95" s="12">
        <v>2.0</v>
      </c>
      <c r="B95" s="12"/>
      <c r="C95" s="13" t="s">
        <v>1221</v>
      </c>
      <c r="D95" s="13"/>
      <c r="E95" s="12" t="s">
        <v>88</v>
      </c>
      <c r="F95" s="12">
        <v>1.0</v>
      </c>
      <c r="G95" s="12">
        <v>250.0</v>
      </c>
      <c r="H95" s="12"/>
      <c r="I95" s="12" t="s">
        <v>145</v>
      </c>
      <c r="J95" s="13"/>
      <c r="K95" s="13" t="s">
        <v>156</v>
      </c>
      <c r="L95" s="13" t="s">
        <v>812</v>
      </c>
      <c r="M95" s="12" t="s">
        <v>95</v>
      </c>
      <c r="N95" s="14" t="s">
        <v>1489</v>
      </c>
      <c r="O95" s="14" t="s">
        <v>459</v>
      </c>
      <c r="P95" s="15">
        <v>26.4499</v>
      </c>
      <c r="Q95" s="15">
        <v>80.3319</v>
      </c>
      <c r="R95" s="15">
        <v>2020.0</v>
      </c>
      <c r="S95" s="14" t="s">
        <v>104</v>
      </c>
      <c r="T95" s="15">
        <v>59.0</v>
      </c>
      <c r="U95" s="14" t="s">
        <v>105</v>
      </c>
      <c r="V95" s="14" t="s">
        <v>105</v>
      </c>
      <c r="W95" s="14" t="s">
        <v>105</v>
      </c>
      <c r="X95" s="14" t="s">
        <v>105</v>
      </c>
      <c r="Y95" s="14" t="s">
        <v>105</v>
      </c>
      <c r="Z95" s="14" t="s">
        <v>105</v>
      </c>
      <c r="AA95" s="14" t="s">
        <v>105</v>
      </c>
      <c r="AB95" s="14" t="s">
        <v>105</v>
      </c>
      <c r="AC95" s="14" t="s">
        <v>105</v>
      </c>
      <c r="AD95" s="14" t="s">
        <v>105</v>
      </c>
      <c r="AE95" s="14" t="s">
        <v>105</v>
      </c>
      <c r="AF95" s="14" t="s">
        <v>105</v>
      </c>
      <c r="AG95" s="14" t="s">
        <v>105</v>
      </c>
      <c r="AH95" s="103" t="s">
        <v>88</v>
      </c>
      <c r="AI95" s="103" t="s">
        <v>88</v>
      </c>
      <c r="AJ95" s="14" t="s">
        <v>105</v>
      </c>
      <c r="AK95" s="14" t="s">
        <v>105</v>
      </c>
      <c r="AL95" s="14" t="s">
        <v>1490</v>
      </c>
      <c r="AM95" s="14" t="s">
        <v>1491</v>
      </c>
      <c r="AN95" s="14" t="s">
        <v>1492</v>
      </c>
      <c r="AO95" s="22" t="s">
        <v>1493</v>
      </c>
      <c r="AP95" s="14" t="s">
        <v>232</v>
      </c>
      <c r="AQ95" s="23">
        <v>46277.0</v>
      </c>
      <c r="AR95" s="24" t="s">
        <v>190</v>
      </c>
      <c r="AS95" s="25" t="s">
        <v>193</v>
      </c>
      <c r="AT95" s="69" t="s">
        <v>1494</v>
      </c>
      <c r="AU95" s="119" t="s">
        <v>197</v>
      </c>
    </row>
    <row r="96" ht="30.75" hidden="1" customHeight="1">
      <c r="A96" s="12">
        <v>2.0</v>
      </c>
      <c r="B96" s="12"/>
      <c r="C96" s="13" t="s">
        <v>1226</v>
      </c>
      <c r="D96" s="13"/>
      <c r="E96" s="12" t="s">
        <v>88</v>
      </c>
      <c r="F96" s="12">
        <v>1.0</v>
      </c>
      <c r="G96" s="12">
        <v>250.0</v>
      </c>
      <c r="H96" s="12"/>
      <c r="I96" s="12" t="s">
        <v>145</v>
      </c>
      <c r="J96" s="13"/>
      <c r="K96" s="13" t="s">
        <v>94</v>
      </c>
      <c r="L96" s="13"/>
      <c r="M96" s="12" t="s">
        <v>95</v>
      </c>
      <c r="N96" s="14" t="s">
        <v>97</v>
      </c>
      <c r="O96" s="14" t="s">
        <v>100</v>
      </c>
      <c r="P96" s="15">
        <v>11.1085</v>
      </c>
      <c r="Q96" s="15">
        <v>77.3411</v>
      </c>
      <c r="R96" s="15">
        <v>2005.0</v>
      </c>
      <c r="S96" s="14" t="s">
        <v>104</v>
      </c>
      <c r="T96" s="15" t="s">
        <v>105</v>
      </c>
      <c r="U96" s="14" t="s">
        <v>105</v>
      </c>
      <c r="V96" s="14" t="s">
        <v>105</v>
      </c>
      <c r="W96" s="14" t="s">
        <v>105</v>
      </c>
      <c r="X96" s="14" t="s">
        <v>105</v>
      </c>
      <c r="Y96" s="14" t="s">
        <v>105</v>
      </c>
      <c r="Z96" s="14" t="s">
        <v>105</v>
      </c>
      <c r="AA96" s="14" t="s">
        <v>105</v>
      </c>
      <c r="AB96" s="14" t="s">
        <v>105</v>
      </c>
      <c r="AC96" s="14" t="s">
        <v>105</v>
      </c>
      <c r="AD96" s="14" t="s">
        <v>105</v>
      </c>
      <c r="AE96" s="14" t="s">
        <v>105</v>
      </c>
      <c r="AF96" s="14" t="s">
        <v>105</v>
      </c>
      <c r="AG96" s="14" t="s">
        <v>105</v>
      </c>
      <c r="AH96" s="101" t="s">
        <v>88</v>
      </c>
      <c r="AI96" s="120" t="s">
        <v>88</v>
      </c>
      <c r="AJ96" s="14" t="s">
        <v>105</v>
      </c>
      <c r="AK96" s="14" t="s">
        <v>105</v>
      </c>
      <c r="AL96" s="14" t="s">
        <v>1495</v>
      </c>
      <c r="AM96" s="14" t="s">
        <v>1496</v>
      </c>
      <c r="AN96" s="14" t="s">
        <v>139</v>
      </c>
      <c r="AO96" s="72" t="s">
        <v>1497</v>
      </c>
      <c r="AP96" s="25" t="s">
        <v>284</v>
      </c>
      <c r="AQ96" s="23">
        <v>46277.0</v>
      </c>
      <c r="AR96" s="24" t="s">
        <v>190</v>
      </c>
      <c r="AS96" s="25" t="s">
        <v>193</v>
      </c>
      <c r="AT96" s="86" t="s">
        <v>1498</v>
      </c>
      <c r="AU96" s="14" t="s">
        <v>1499</v>
      </c>
    </row>
    <row r="97" ht="19.5" hidden="1" customHeight="1">
      <c r="A97" s="12">
        <v>2.0</v>
      </c>
      <c r="B97" s="12"/>
      <c r="C97" s="13" t="s">
        <v>1161</v>
      </c>
      <c r="D97" s="13"/>
      <c r="E97" s="12" t="s">
        <v>88</v>
      </c>
      <c r="F97" s="12">
        <v>1.0</v>
      </c>
      <c r="G97" s="12">
        <v>250.0</v>
      </c>
      <c r="H97" s="12"/>
      <c r="I97" s="12" t="s">
        <v>92</v>
      </c>
      <c r="J97" s="13"/>
      <c r="K97" s="13" t="s">
        <v>94</v>
      </c>
      <c r="L97" s="13"/>
      <c r="M97" s="12" t="s">
        <v>95</v>
      </c>
      <c r="N97" s="121" t="s">
        <v>1500</v>
      </c>
      <c r="O97" s="14" t="s">
        <v>209</v>
      </c>
      <c r="P97" s="15">
        <v>21.1702</v>
      </c>
      <c r="Q97" s="15">
        <v>72.8311</v>
      </c>
      <c r="R97" s="15">
        <v>1989.0</v>
      </c>
      <c r="S97" s="14" t="s">
        <v>104</v>
      </c>
      <c r="T97" s="15">
        <v>116.0</v>
      </c>
      <c r="U97" s="14" t="s">
        <v>105</v>
      </c>
      <c r="V97" s="14" t="s">
        <v>105</v>
      </c>
      <c r="W97" s="14" t="s">
        <v>105</v>
      </c>
      <c r="X97" s="14" t="s">
        <v>105</v>
      </c>
      <c r="Y97" s="14" t="s">
        <v>105</v>
      </c>
      <c r="Z97" s="14" t="s">
        <v>105</v>
      </c>
      <c r="AA97" s="14" t="s">
        <v>105</v>
      </c>
      <c r="AB97" s="14" t="s">
        <v>105</v>
      </c>
      <c r="AC97" s="14" t="s">
        <v>105</v>
      </c>
      <c r="AD97" s="14" t="s">
        <v>105</v>
      </c>
      <c r="AE97" s="14" t="s">
        <v>105</v>
      </c>
      <c r="AF97" s="14" t="s">
        <v>105</v>
      </c>
      <c r="AG97" s="14" t="s">
        <v>105</v>
      </c>
      <c r="AH97" s="34" t="s">
        <v>88</v>
      </c>
      <c r="AI97" s="34" t="s">
        <v>88</v>
      </c>
      <c r="AJ97" s="14" t="s">
        <v>1456</v>
      </c>
      <c r="AK97" s="14" t="s">
        <v>1501</v>
      </c>
      <c r="AL97" s="14" t="s">
        <v>1502</v>
      </c>
      <c r="AM97" s="14" t="s">
        <v>1503</v>
      </c>
      <c r="AN97" s="14" t="s">
        <v>1500</v>
      </c>
      <c r="AO97" s="97" t="s">
        <v>1504</v>
      </c>
      <c r="AP97" s="25" t="s">
        <v>284</v>
      </c>
      <c r="AQ97" s="23">
        <v>46277.0</v>
      </c>
      <c r="AR97" s="24" t="s">
        <v>190</v>
      </c>
      <c r="AS97" s="25" t="s">
        <v>193</v>
      </c>
      <c r="AT97" s="86" t="s">
        <v>1505</v>
      </c>
      <c r="AU97" s="14" t="s">
        <v>896</v>
      </c>
    </row>
    <row r="98" ht="22.5" hidden="1" customHeight="1">
      <c r="A98" s="12">
        <v>2.0</v>
      </c>
      <c r="B98" s="12"/>
      <c r="C98" s="13" t="s">
        <v>1234</v>
      </c>
      <c r="D98" s="13"/>
      <c r="E98" s="12" t="s">
        <v>88</v>
      </c>
      <c r="F98" s="12">
        <v>1.0</v>
      </c>
      <c r="G98" s="12">
        <v>250.0</v>
      </c>
      <c r="H98" s="12"/>
      <c r="I98" s="12" t="s">
        <v>145</v>
      </c>
      <c r="J98" s="13"/>
      <c r="K98" s="13" t="s">
        <v>94</v>
      </c>
      <c r="L98" s="13"/>
      <c r="M98" s="12" t="s">
        <v>95</v>
      </c>
      <c r="N98" s="14" t="s">
        <v>1436</v>
      </c>
      <c r="O98" s="14" t="s">
        <v>407</v>
      </c>
      <c r="P98" s="15">
        <v>28.4595</v>
      </c>
      <c r="Q98" s="15">
        <v>77.0266</v>
      </c>
      <c r="R98" s="15">
        <v>2016.0</v>
      </c>
      <c r="S98" s="14" t="s">
        <v>104</v>
      </c>
      <c r="T98" s="15">
        <v>39.0</v>
      </c>
      <c r="U98" s="14" t="s">
        <v>105</v>
      </c>
      <c r="V98" s="14" t="s">
        <v>105</v>
      </c>
      <c r="W98" s="14" t="s">
        <v>105</v>
      </c>
      <c r="X98" s="14" t="s">
        <v>105</v>
      </c>
      <c r="Y98" s="14" t="s">
        <v>105</v>
      </c>
      <c r="Z98" s="14" t="s">
        <v>105</v>
      </c>
      <c r="AA98" s="14" t="s">
        <v>105</v>
      </c>
      <c r="AB98" s="14" t="s">
        <v>105</v>
      </c>
      <c r="AC98" s="14" t="s">
        <v>105</v>
      </c>
      <c r="AD98" s="14" t="s">
        <v>105</v>
      </c>
      <c r="AE98" s="14" t="s">
        <v>105</v>
      </c>
      <c r="AF98" s="14" t="s">
        <v>105</v>
      </c>
      <c r="AG98" s="14" t="s">
        <v>105</v>
      </c>
      <c r="AH98" s="103" t="s">
        <v>88</v>
      </c>
      <c r="AI98" s="103" t="s">
        <v>88</v>
      </c>
      <c r="AJ98" s="14" t="s">
        <v>105</v>
      </c>
      <c r="AK98" s="14" t="s">
        <v>105</v>
      </c>
      <c r="AL98" s="14" t="s">
        <v>1506</v>
      </c>
      <c r="AM98" s="14" t="s">
        <v>1507</v>
      </c>
      <c r="AN98" s="14" t="s">
        <v>1508</v>
      </c>
      <c r="AO98" s="68" t="s">
        <v>1509</v>
      </c>
      <c r="AP98" s="14" t="s">
        <v>232</v>
      </c>
      <c r="AQ98" s="23">
        <v>46277.0</v>
      </c>
      <c r="AR98" s="24" t="s">
        <v>190</v>
      </c>
      <c r="AS98" s="25" t="s">
        <v>193</v>
      </c>
      <c r="AT98" s="86" t="s">
        <v>1510</v>
      </c>
      <c r="AU98" s="119" t="s">
        <v>197</v>
      </c>
    </row>
    <row r="99" ht="19.5" hidden="1" customHeight="1">
      <c r="A99" s="12">
        <v>2.0</v>
      </c>
      <c r="B99" s="12"/>
      <c r="C99" s="13" t="s">
        <v>1237</v>
      </c>
      <c r="D99" s="13"/>
      <c r="E99" s="12" t="s">
        <v>88</v>
      </c>
      <c r="F99" s="12">
        <v>1.0</v>
      </c>
      <c r="G99" s="12">
        <v>250.0</v>
      </c>
      <c r="H99" s="12"/>
      <c r="I99" s="12" t="s">
        <v>145</v>
      </c>
      <c r="J99" s="13"/>
      <c r="K99" s="13" t="s">
        <v>669</v>
      </c>
      <c r="L99" s="13"/>
      <c r="M99" s="12" t="s">
        <v>95</v>
      </c>
      <c r="N99" s="14" t="s">
        <v>406</v>
      </c>
      <c r="O99" s="14" t="s">
        <v>407</v>
      </c>
      <c r="P99" s="15">
        <v>28.4089</v>
      </c>
      <c r="Q99" s="15">
        <v>77.3178</v>
      </c>
      <c r="R99" s="15">
        <v>1958.0</v>
      </c>
      <c r="S99" s="14" t="s">
        <v>104</v>
      </c>
      <c r="T99" s="15">
        <v>300.0</v>
      </c>
      <c r="U99" s="14" t="s">
        <v>105</v>
      </c>
      <c r="V99" s="14" t="s">
        <v>105</v>
      </c>
      <c r="W99" s="14" t="s">
        <v>105</v>
      </c>
      <c r="X99" s="14" t="s">
        <v>105</v>
      </c>
      <c r="Y99" s="14" t="s">
        <v>105</v>
      </c>
      <c r="Z99" s="14" t="s">
        <v>105</v>
      </c>
      <c r="AA99" s="14" t="s">
        <v>105</v>
      </c>
      <c r="AB99" s="14" t="s">
        <v>105</v>
      </c>
      <c r="AC99" s="14" t="s">
        <v>105</v>
      </c>
      <c r="AD99" s="14" t="s">
        <v>105</v>
      </c>
      <c r="AE99" s="14" t="s">
        <v>105</v>
      </c>
      <c r="AF99" s="14" t="s">
        <v>105</v>
      </c>
      <c r="AG99" s="14" t="s">
        <v>105</v>
      </c>
      <c r="AH99" s="103" t="s">
        <v>88</v>
      </c>
      <c r="AI99" s="103" t="s">
        <v>88</v>
      </c>
      <c r="AJ99" s="14" t="s">
        <v>105</v>
      </c>
      <c r="AK99" s="14" t="s">
        <v>105</v>
      </c>
      <c r="AL99" s="14" t="s">
        <v>1511</v>
      </c>
      <c r="AM99" s="14" t="s">
        <v>1512</v>
      </c>
      <c r="AN99" s="14" t="s">
        <v>1513</v>
      </c>
      <c r="AO99" s="22" t="s">
        <v>1514</v>
      </c>
      <c r="AP99" s="14" t="s">
        <v>176</v>
      </c>
      <c r="AQ99" s="23">
        <v>46277.0</v>
      </c>
      <c r="AR99" s="24" t="s">
        <v>190</v>
      </c>
      <c r="AS99" s="25" t="s">
        <v>193</v>
      </c>
      <c r="AT99" s="86" t="s">
        <v>1515</v>
      </c>
      <c r="AU99" s="119" t="s">
        <v>197</v>
      </c>
    </row>
    <row r="100" ht="15.0" hidden="1" customHeight="1">
      <c r="A100" s="12">
        <v>2.0</v>
      </c>
      <c r="B100" s="12"/>
      <c r="C100" s="13" t="s">
        <v>1240</v>
      </c>
      <c r="D100" s="13"/>
      <c r="E100" s="12" t="s">
        <v>88</v>
      </c>
      <c r="F100" s="12">
        <v>1.0</v>
      </c>
      <c r="G100" s="12">
        <v>250.0</v>
      </c>
      <c r="H100" s="12"/>
      <c r="I100" s="12" t="s">
        <v>145</v>
      </c>
      <c r="J100" s="13"/>
      <c r="K100" s="13" t="s">
        <v>669</v>
      </c>
      <c r="L100" s="13"/>
      <c r="M100" s="12" t="s">
        <v>95</v>
      </c>
      <c r="N100" s="14" t="s">
        <v>1516</v>
      </c>
      <c r="O100" s="14" t="s">
        <v>407</v>
      </c>
      <c r="P100" s="15">
        <v>28.9931</v>
      </c>
      <c r="Q100" s="15">
        <v>77.0151</v>
      </c>
      <c r="R100" s="15">
        <v>2009.0</v>
      </c>
      <c r="S100" s="14" t="s">
        <v>104</v>
      </c>
      <c r="T100" s="15">
        <v>110.0</v>
      </c>
      <c r="U100" s="14" t="s">
        <v>105</v>
      </c>
      <c r="V100" s="14" t="s">
        <v>105</v>
      </c>
      <c r="W100" s="14" t="s">
        <v>105</v>
      </c>
      <c r="X100" s="14" t="s">
        <v>105</v>
      </c>
      <c r="Y100" s="14" t="s">
        <v>105</v>
      </c>
      <c r="Z100" s="14" t="s">
        <v>105</v>
      </c>
      <c r="AA100" s="14" t="s">
        <v>105</v>
      </c>
      <c r="AB100" s="14" t="s">
        <v>105</v>
      </c>
      <c r="AC100" s="14" t="s">
        <v>105</v>
      </c>
      <c r="AD100" s="14" t="s">
        <v>105</v>
      </c>
      <c r="AE100" s="14" t="s">
        <v>105</v>
      </c>
      <c r="AF100" s="14" t="s">
        <v>105</v>
      </c>
      <c r="AG100" s="14" t="s">
        <v>105</v>
      </c>
      <c r="AH100" s="101" t="s">
        <v>88</v>
      </c>
      <c r="AI100" s="120" t="s">
        <v>88</v>
      </c>
      <c r="AJ100" s="14" t="s">
        <v>105</v>
      </c>
      <c r="AK100" s="14" t="s">
        <v>105</v>
      </c>
      <c r="AL100" s="14" t="s">
        <v>792</v>
      </c>
      <c r="AM100" s="14" t="s">
        <v>1517</v>
      </c>
      <c r="AN100" s="14" t="s">
        <v>1518</v>
      </c>
      <c r="AO100" s="22" t="s">
        <v>1519</v>
      </c>
      <c r="AP100" s="14" t="s">
        <v>486</v>
      </c>
      <c r="AQ100" s="23">
        <v>46277.0</v>
      </c>
      <c r="AR100" s="24" t="s">
        <v>190</v>
      </c>
      <c r="AS100" s="25" t="s">
        <v>193</v>
      </c>
      <c r="AT100" s="86" t="s">
        <v>1520</v>
      </c>
      <c r="AU100" s="14" t="s">
        <v>1521</v>
      </c>
    </row>
    <row r="101" ht="15.75" hidden="1" customHeight="1">
      <c r="A101" s="12">
        <v>2.0</v>
      </c>
      <c r="B101" s="12"/>
      <c r="C101" s="13" t="s">
        <v>1244</v>
      </c>
      <c r="D101" s="13"/>
      <c r="E101" s="12" t="s">
        <v>88</v>
      </c>
      <c r="F101" s="12">
        <v>1.0</v>
      </c>
      <c r="G101" s="12">
        <v>250.0</v>
      </c>
      <c r="H101" s="12"/>
      <c r="I101" s="12" t="s">
        <v>145</v>
      </c>
      <c r="J101" s="13"/>
      <c r="K101" s="13" t="s">
        <v>156</v>
      </c>
      <c r="L101" s="13" t="s">
        <v>855</v>
      </c>
      <c r="M101" s="12" t="s">
        <v>95</v>
      </c>
      <c r="N101" s="14" t="s">
        <v>1522</v>
      </c>
      <c r="O101" s="14" t="s">
        <v>1523</v>
      </c>
      <c r="P101" s="15">
        <v>28.9904</v>
      </c>
      <c r="Q101" s="15">
        <v>79.39</v>
      </c>
      <c r="R101" s="15">
        <v>2007.0</v>
      </c>
      <c r="S101" s="14" t="s">
        <v>1524</v>
      </c>
      <c r="T101" s="15">
        <v>500.0</v>
      </c>
      <c r="U101" s="14" t="s">
        <v>105</v>
      </c>
      <c r="V101" s="14" t="s">
        <v>105</v>
      </c>
      <c r="W101" s="14" t="s">
        <v>105</v>
      </c>
      <c r="X101" s="14" t="s">
        <v>105</v>
      </c>
      <c r="Y101" s="14" t="s">
        <v>105</v>
      </c>
      <c r="Z101" s="14" t="s">
        <v>105</v>
      </c>
      <c r="AA101" s="14" t="s">
        <v>105</v>
      </c>
      <c r="AB101" s="14" t="s">
        <v>105</v>
      </c>
      <c r="AC101" s="14" t="s">
        <v>105</v>
      </c>
      <c r="AD101" s="14" t="s">
        <v>105</v>
      </c>
      <c r="AE101" s="14" t="s">
        <v>105</v>
      </c>
      <c r="AF101" s="14" t="s">
        <v>105</v>
      </c>
      <c r="AG101" s="14" t="s">
        <v>105</v>
      </c>
      <c r="AH101" s="101" t="s">
        <v>88</v>
      </c>
      <c r="AI101" s="120" t="s">
        <v>88</v>
      </c>
      <c r="AJ101" s="14" t="s">
        <v>105</v>
      </c>
      <c r="AK101" s="14" t="s">
        <v>105</v>
      </c>
      <c r="AL101" s="14" t="s">
        <v>1525</v>
      </c>
      <c r="AM101" s="14" t="s">
        <v>1526</v>
      </c>
      <c r="AN101" s="14" t="s">
        <v>1527</v>
      </c>
      <c r="AO101" s="22" t="s">
        <v>1528</v>
      </c>
      <c r="AP101" s="25" t="s">
        <v>284</v>
      </c>
      <c r="AQ101" s="23">
        <v>46277.0</v>
      </c>
      <c r="AR101" s="24" t="s">
        <v>190</v>
      </c>
      <c r="AS101" s="25" t="s">
        <v>193</v>
      </c>
      <c r="AT101" s="86" t="s">
        <v>1529</v>
      </c>
      <c r="AU101" s="14" t="s">
        <v>1530</v>
      </c>
    </row>
    <row r="102" ht="27.0" hidden="1" customHeight="1">
      <c r="A102" s="12">
        <v>2.0</v>
      </c>
      <c r="B102" s="12"/>
      <c r="C102" s="13" t="s">
        <v>1248</v>
      </c>
      <c r="D102" s="13"/>
      <c r="E102" s="12" t="s">
        <v>88</v>
      </c>
      <c r="F102" s="12">
        <v>1.0</v>
      </c>
      <c r="G102" s="12">
        <v>250.0</v>
      </c>
      <c r="H102" s="12"/>
      <c r="I102" s="12" t="s">
        <v>145</v>
      </c>
      <c r="J102" s="13"/>
      <c r="K102" s="13" t="s">
        <v>94</v>
      </c>
      <c r="L102" s="13"/>
      <c r="M102" s="12" t="s">
        <v>95</v>
      </c>
      <c r="N102" s="14" t="s">
        <v>575</v>
      </c>
      <c r="O102" s="14" t="s">
        <v>100</v>
      </c>
      <c r="P102" s="15">
        <v>13.0827</v>
      </c>
      <c r="Q102" s="15">
        <v>80.2707</v>
      </c>
      <c r="R102" s="15">
        <v>2017.0</v>
      </c>
      <c r="S102" s="14" t="s">
        <v>1531</v>
      </c>
      <c r="T102" s="15">
        <v>10.0</v>
      </c>
      <c r="U102" s="14" t="s">
        <v>105</v>
      </c>
      <c r="V102" s="14" t="s">
        <v>105</v>
      </c>
      <c r="W102" s="14" t="s">
        <v>105</v>
      </c>
      <c r="X102" s="14" t="s">
        <v>105</v>
      </c>
      <c r="Y102" s="14" t="s">
        <v>105</v>
      </c>
      <c r="Z102" s="14" t="s">
        <v>105</v>
      </c>
      <c r="AA102" s="14" t="s">
        <v>105</v>
      </c>
      <c r="AB102" s="14" t="s">
        <v>105</v>
      </c>
      <c r="AC102" s="14" t="s">
        <v>105</v>
      </c>
      <c r="AD102" s="14" t="s">
        <v>105</v>
      </c>
      <c r="AE102" s="14" t="s">
        <v>105</v>
      </c>
      <c r="AF102" s="14" t="s">
        <v>105</v>
      </c>
      <c r="AG102" s="14" t="s">
        <v>105</v>
      </c>
      <c r="AH102" s="103" t="s">
        <v>88</v>
      </c>
      <c r="AI102" s="103" t="s">
        <v>88</v>
      </c>
      <c r="AJ102" s="14" t="s">
        <v>105</v>
      </c>
      <c r="AK102" s="14" t="s">
        <v>105</v>
      </c>
      <c r="AL102" s="14" t="s">
        <v>1532</v>
      </c>
      <c r="AM102" s="14" t="s">
        <v>1533</v>
      </c>
      <c r="AN102" s="14" t="s">
        <v>1534</v>
      </c>
      <c r="AO102" s="22" t="s">
        <v>1535</v>
      </c>
      <c r="AP102" s="14" t="s">
        <v>232</v>
      </c>
      <c r="AQ102" s="23">
        <v>46277.0</v>
      </c>
      <c r="AR102" s="24" t="s">
        <v>190</v>
      </c>
      <c r="AS102" s="25" t="s">
        <v>193</v>
      </c>
      <c r="AT102" s="86" t="s">
        <v>1536</v>
      </c>
      <c r="AU102" s="14" t="s">
        <v>197</v>
      </c>
    </row>
    <row r="103" ht="15.0" hidden="1" customHeight="1">
      <c r="A103" s="40">
        <v>2.0</v>
      </c>
      <c r="B103" s="40"/>
      <c r="C103" s="41" t="s">
        <v>1252</v>
      </c>
      <c r="D103" s="42"/>
      <c r="E103" s="40" t="s">
        <v>88</v>
      </c>
      <c r="F103" s="40">
        <v>1.0</v>
      </c>
      <c r="G103" s="40">
        <v>250.0</v>
      </c>
      <c r="H103" s="40">
        <v>69.8</v>
      </c>
      <c r="I103" s="40" t="s">
        <v>145</v>
      </c>
      <c r="J103" s="42"/>
      <c r="K103" s="42" t="s">
        <v>156</v>
      </c>
      <c r="L103" s="42" t="s">
        <v>812</v>
      </c>
      <c r="M103" s="40" t="s">
        <v>95</v>
      </c>
      <c r="N103" s="83" t="s">
        <v>1537</v>
      </c>
      <c r="O103" s="83" t="s">
        <v>1538</v>
      </c>
      <c r="P103" s="90">
        <v>40.2677</v>
      </c>
      <c r="Q103" s="90">
        <v>8.2825</v>
      </c>
      <c r="R103" s="90">
        <v>1994.0</v>
      </c>
      <c r="S103" s="83" t="s">
        <v>1539</v>
      </c>
      <c r="T103" s="90">
        <v>499.0</v>
      </c>
      <c r="U103" s="45" t="s">
        <v>105</v>
      </c>
      <c r="V103" s="45" t="s">
        <v>105</v>
      </c>
      <c r="W103" s="45" t="s">
        <v>105</v>
      </c>
      <c r="X103" s="45" t="s">
        <v>105</v>
      </c>
      <c r="Y103" s="45" t="s">
        <v>105</v>
      </c>
      <c r="Z103" s="45" t="s">
        <v>105</v>
      </c>
      <c r="AA103" s="45" t="s">
        <v>105</v>
      </c>
      <c r="AB103" s="45" t="s">
        <v>105</v>
      </c>
      <c r="AC103" s="45" t="s">
        <v>105</v>
      </c>
      <c r="AD103" s="45" t="s">
        <v>105</v>
      </c>
      <c r="AE103" s="45" t="s">
        <v>105</v>
      </c>
      <c r="AF103" s="45" t="s">
        <v>105</v>
      </c>
      <c r="AG103" s="45" t="s">
        <v>105</v>
      </c>
      <c r="AH103" s="122" t="s">
        <v>88</v>
      </c>
      <c r="AI103" s="123" t="s">
        <v>88</v>
      </c>
      <c r="AJ103" s="45" t="s">
        <v>105</v>
      </c>
      <c r="AK103" s="45" t="s">
        <v>105</v>
      </c>
      <c r="AL103" s="83" t="s">
        <v>882</v>
      </c>
      <c r="AM103" s="45" t="s">
        <v>1540</v>
      </c>
      <c r="AN103" s="45" t="s">
        <v>1541</v>
      </c>
      <c r="AO103" s="92" t="s">
        <v>1542</v>
      </c>
      <c r="AP103" s="43" t="s">
        <v>284</v>
      </c>
      <c r="AQ103" s="55">
        <v>46245.0</v>
      </c>
      <c r="AR103" s="49" t="s">
        <v>553</v>
      </c>
      <c r="AS103" s="43" t="s">
        <v>193</v>
      </c>
      <c r="AT103" s="93" t="s">
        <v>1543</v>
      </c>
      <c r="AU103" s="83" t="s">
        <v>1544</v>
      </c>
    </row>
    <row r="104" ht="17.25" hidden="1" customHeight="1">
      <c r="A104" s="12">
        <v>2.0</v>
      </c>
      <c r="B104" s="12"/>
      <c r="C104" s="13" t="s">
        <v>1259</v>
      </c>
      <c r="D104" s="13"/>
      <c r="E104" s="12" t="s">
        <v>88</v>
      </c>
      <c r="F104" s="12">
        <v>1.0</v>
      </c>
      <c r="G104" s="12">
        <v>250.0</v>
      </c>
      <c r="H104" s="12"/>
      <c r="I104" s="12" t="s">
        <v>145</v>
      </c>
      <c r="J104" s="13" t="s">
        <v>696</v>
      </c>
      <c r="K104" s="13" t="s">
        <v>156</v>
      </c>
      <c r="L104" s="13" t="s">
        <v>855</v>
      </c>
      <c r="M104" s="12" t="s">
        <v>95</v>
      </c>
      <c r="N104" s="14" t="s">
        <v>833</v>
      </c>
      <c r="O104" s="14" t="s">
        <v>100</v>
      </c>
      <c r="P104" s="15">
        <v>11.0168</v>
      </c>
      <c r="Q104" s="15">
        <v>76.9558</v>
      </c>
      <c r="R104" s="15">
        <v>1962.0</v>
      </c>
      <c r="S104" s="14" t="s">
        <v>521</v>
      </c>
      <c r="T104" s="53">
        <v>1608.0</v>
      </c>
      <c r="U104" s="14" t="s">
        <v>105</v>
      </c>
      <c r="V104" s="14" t="s">
        <v>105</v>
      </c>
      <c r="W104" s="14" t="s">
        <v>105</v>
      </c>
      <c r="X104" s="14" t="s">
        <v>105</v>
      </c>
      <c r="Y104" s="14" t="s">
        <v>105</v>
      </c>
      <c r="Z104" s="14" t="s">
        <v>105</v>
      </c>
      <c r="AA104" s="14" t="s">
        <v>105</v>
      </c>
      <c r="AB104" s="14" t="s">
        <v>105</v>
      </c>
      <c r="AC104" s="14" t="s">
        <v>105</v>
      </c>
      <c r="AD104" s="14" t="s">
        <v>105</v>
      </c>
      <c r="AE104" s="14" t="s">
        <v>105</v>
      </c>
      <c r="AF104" s="14" t="s">
        <v>105</v>
      </c>
      <c r="AG104" s="14" t="s">
        <v>105</v>
      </c>
      <c r="AH104" s="101" t="s">
        <v>72</v>
      </c>
      <c r="AI104" s="120" t="s">
        <v>88</v>
      </c>
      <c r="AJ104" s="14" t="s">
        <v>1545</v>
      </c>
      <c r="AK104" s="14" t="s">
        <v>105</v>
      </c>
      <c r="AL104" s="14" t="s">
        <v>1546</v>
      </c>
      <c r="AM104" s="14" t="s">
        <v>1547</v>
      </c>
      <c r="AN104" s="14" t="s">
        <v>1548</v>
      </c>
      <c r="AO104" s="97" t="s">
        <v>1549</v>
      </c>
      <c r="AP104" s="14" t="s">
        <v>232</v>
      </c>
      <c r="AQ104" s="23">
        <v>46277.0</v>
      </c>
      <c r="AR104" s="24" t="s">
        <v>190</v>
      </c>
      <c r="AS104" s="25" t="s">
        <v>193</v>
      </c>
      <c r="AT104" s="86" t="s">
        <v>1550</v>
      </c>
      <c r="AU104" s="86" t="s">
        <v>1551</v>
      </c>
    </row>
    <row r="105" ht="18.0" hidden="1" customHeight="1">
      <c r="A105" s="12">
        <v>2.0</v>
      </c>
      <c r="B105" s="12"/>
      <c r="C105" s="13" t="s">
        <v>1262</v>
      </c>
      <c r="D105" s="13"/>
      <c r="E105" s="12" t="s">
        <v>88</v>
      </c>
      <c r="F105" s="12">
        <v>1.0</v>
      </c>
      <c r="G105" s="12">
        <v>250.0</v>
      </c>
      <c r="H105" s="12"/>
      <c r="I105" s="12" t="s">
        <v>145</v>
      </c>
      <c r="J105" s="13"/>
      <c r="K105" s="13" t="s">
        <v>156</v>
      </c>
      <c r="L105" s="13" t="s">
        <v>855</v>
      </c>
      <c r="M105" s="12" t="s">
        <v>95</v>
      </c>
      <c r="N105" s="14" t="s">
        <v>1552</v>
      </c>
      <c r="O105" s="14" t="s">
        <v>1523</v>
      </c>
      <c r="P105" s="15">
        <v>29.9457</v>
      </c>
      <c r="Q105" s="15">
        <v>78.1642</v>
      </c>
      <c r="R105" s="15">
        <v>2009.0</v>
      </c>
      <c r="S105" s="14" t="s">
        <v>789</v>
      </c>
      <c r="T105" s="15">
        <v>100.0</v>
      </c>
      <c r="U105" s="14" t="s">
        <v>105</v>
      </c>
      <c r="V105" s="14" t="s">
        <v>105</v>
      </c>
      <c r="W105" s="14" t="s">
        <v>105</v>
      </c>
      <c r="X105" s="14" t="s">
        <v>105</v>
      </c>
      <c r="Y105" s="14" t="s">
        <v>105</v>
      </c>
      <c r="Z105" s="14" t="s">
        <v>105</v>
      </c>
      <c r="AA105" s="14" t="s">
        <v>105</v>
      </c>
      <c r="AB105" s="14" t="s">
        <v>105</v>
      </c>
      <c r="AC105" s="14" t="s">
        <v>105</v>
      </c>
      <c r="AD105" s="14" t="s">
        <v>105</v>
      </c>
      <c r="AE105" s="14" t="s">
        <v>105</v>
      </c>
      <c r="AF105" s="14" t="s">
        <v>105</v>
      </c>
      <c r="AG105" s="14" t="s">
        <v>105</v>
      </c>
      <c r="AH105" s="101" t="s">
        <v>88</v>
      </c>
      <c r="AI105" s="120" t="s">
        <v>88</v>
      </c>
      <c r="AJ105" s="14" t="s">
        <v>1553</v>
      </c>
      <c r="AK105" s="14" t="s">
        <v>1554</v>
      </c>
      <c r="AL105" s="14" t="s">
        <v>1555</v>
      </c>
      <c r="AM105" s="14" t="s">
        <v>1556</v>
      </c>
      <c r="AN105" s="14" t="s">
        <v>1557</v>
      </c>
      <c r="AO105" s="22" t="s">
        <v>1558</v>
      </c>
      <c r="AP105" s="14" t="s">
        <v>232</v>
      </c>
      <c r="AQ105" s="23">
        <v>46277.0</v>
      </c>
      <c r="AR105" s="24" t="s">
        <v>190</v>
      </c>
      <c r="AS105" s="25" t="s">
        <v>193</v>
      </c>
      <c r="AT105" s="86" t="s">
        <v>1559</v>
      </c>
      <c r="AU105" s="14" t="s">
        <v>1560</v>
      </c>
    </row>
    <row r="106" ht="14.25" hidden="1" customHeight="1">
      <c r="A106" s="12">
        <v>2.0</v>
      </c>
      <c r="B106" s="12"/>
      <c r="C106" s="13" t="s">
        <v>1265</v>
      </c>
      <c r="D106" s="13"/>
      <c r="E106" s="12" t="s">
        <v>88</v>
      </c>
      <c r="F106" s="12">
        <v>1.0</v>
      </c>
      <c r="G106" s="12">
        <v>250.0</v>
      </c>
      <c r="H106" s="12"/>
      <c r="I106" s="12" t="s">
        <v>145</v>
      </c>
      <c r="J106" s="13"/>
      <c r="K106" s="13" t="s">
        <v>156</v>
      </c>
      <c r="L106" s="13" t="s">
        <v>855</v>
      </c>
      <c r="M106" s="12" t="s">
        <v>95</v>
      </c>
      <c r="N106" s="14" t="s">
        <v>1436</v>
      </c>
      <c r="O106" s="14" t="s">
        <v>407</v>
      </c>
      <c r="P106" s="15">
        <v>28.4595</v>
      </c>
      <c r="Q106" s="15">
        <v>77.0266</v>
      </c>
      <c r="R106" s="15">
        <v>1983.0</v>
      </c>
      <c r="S106" s="14" t="s">
        <v>1561</v>
      </c>
      <c r="T106" s="15">
        <v>108.0</v>
      </c>
      <c r="U106" s="14" t="s">
        <v>105</v>
      </c>
      <c r="V106" s="14" t="s">
        <v>105</v>
      </c>
      <c r="W106" s="14" t="s">
        <v>105</v>
      </c>
      <c r="X106" s="14" t="s">
        <v>105</v>
      </c>
      <c r="Y106" s="14" t="s">
        <v>105</v>
      </c>
      <c r="Z106" s="14" t="s">
        <v>105</v>
      </c>
      <c r="AA106" s="14" t="s">
        <v>105</v>
      </c>
      <c r="AB106" s="14" t="s">
        <v>105</v>
      </c>
      <c r="AC106" s="14" t="s">
        <v>105</v>
      </c>
      <c r="AD106" s="14" t="s">
        <v>105</v>
      </c>
      <c r="AE106" s="14" t="s">
        <v>105</v>
      </c>
      <c r="AF106" s="14" t="s">
        <v>105</v>
      </c>
      <c r="AG106" s="14" t="s">
        <v>105</v>
      </c>
      <c r="AH106" s="101" t="s">
        <v>88</v>
      </c>
      <c r="AI106" s="120" t="s">
        <v>88</v>
      </c>
      <c r="AJ106" s="14" t="s">
        <v>105</v>
      </c>
      <c r="AK106" s="14" t="s">
        <v>105</v>
      </c>
      <c r="AL106" s="14" t="s">
        <v>1562</v>
      </c>
      <c r="AM106" s="14" t="s">
        <v>1563</v>
      </c>
      <c r="AN106" s="14" t="s">
        <v>1564</v>
      </c>
      <c r="AO106" s="68" t="s">
        <v>1565</v>
      </c>
      <c r="AP106" s="25" t="s">
        <v>284</v>
      </c>
      <c r="AQ106" s="23">
        <v>46277.0</v>
      </c>
      <c r="AR106" s="24" t="s">
        <v>190</v>
      </c>
      <c r="AS106" s="25" t="s">
        <v>193</v>
      </c>
      <c r="AT106" s="86" t="s">
        <v>1566</v>
      </c>
      <c r="AU106" s="14" t="s">
        <v>197</v>
      </c>
    </row>
    <row r="107" ht="26.25" hidden="1" customHeight="1">
      <c r="A107" s="12">
        <v>2.0</v>
      </c>
      <c r="B107" s="12"/>
      <c r="C107" s="13" t="s">
        <v>1274</v>
      </c>
      <c r="D107" s="13"/>
      <c r="E107" s="12" t="s">
        <v>88</v>
      </c>
      <c r="F107" s="12">
        <v>1.0</v>
      </c>
      <c r="G107" s="12">
        <v>250.0</v>
      </c>
      <c r="H107" s="12"/>
      <c r="I107" s="12" t="s">
        <v>145</v>
      </c>
      <c r="J107" s="13"/>
      <c r="K107" s="13" t="s">
        <v>669</v>
      </c>
      <c r="L107" s="13"/>
      <c r="M107" s="12" t="s">
        <v>95</v>
      </c>
      <c r="N107" s="14" t="s">
        <v>1149</v>
      </c>
      <c r="O107" s="14" t="s">
        <v>440</v>
      </c>
      <c r="P107" s="15">
        <v>28.6139</v>
      </c>
      <c r="Q107" s="15">
        <v>77.209</v>
      </c>
      <c r="R107" s="15">
        <v>1997.0</v>
      </c>
      <c r="S107" s="14" t="s">
        <v>104</v>
      </c>
      <c r="T107" s="15">
        <v>500.0</v>
      </c>
      <c r="U107" s="14" t="s">
        <v>105</v>
      </c>
      <c r="V107" s="14" t="s">
        <v>105</v>
      </c>
      <c r="W107" s="14" t="s">
        <v>105</v>
      </c>
      <c r="X107" s="14" t="s">
        <v>105</v>
      </c>
      <c r="Y107" s="14" t="s">
        <v>105</v>
      </c>
      <c r="Z107" s="14" t="s">
        <v>105</v>
      </c>
      <c r="AA107" s="14" t="s">
        <v>105</v>
      </c>
      <c r="AB107" s="14" t="s">
        <v>105</v>
      </c>
      <c r="AC107" s="14" t="s">
        <v>105</v>
      </c>
      <c r="AD107" s="14" t="s">
        <v>105</v>
      </c>
      <c r="AE107" s="14" t="s">
        <v>105</v>
      </c>
      <c r="AF107" s="14" t="s">
        <v>105</v>
      </c>
      <c r="AG107" s="14" t="s">
        <v>105</v>
      </c>
      <c r="AH107" s="103" t="s">
        <v>88</v>
      </c>
      <c r="AI107" s="103" t="s">
        <v>88</v>
      </c>
      <c r="AJ107" s="14" t="s">
        <v>105</v>
      </c>
      <c r="AK107" s="14" t="s">
        <v>105</v>
      </c>
      <c r="AL107" s="14" t="s">
        <v>1567</v>
      </c>
      <c r="AM107" s="14" t="s">
        <v>1568</v>
      </c>
      <c r="AN107" s="14" t="s">
        <v>1569</v>
      </c>
      <c r="AO107" s="22" t="s">
        <v>1570</v>
      </c>
      <c r="AP107" s="14" t="s">
        <v>232</v>
      </c>
      <c r="AQ107" s="23">
        <v>46277.0</v>
      </c>
      <c r="AR107" s="24" t="s">
        <v>190</v>
      </c>
      <c r="AS107" s="25" t="s">
        <v>193</v>
      </c>
      <c r="AT107" s="86" t="s">
        <v>1571</v>
      </c>
      <c r="AU107" s="119" t="s">
        <v>197</v>
      </c>
    </row>
    <row r="108" ht="24.0" hidden="1" customHeight="1">
      <c r="A108" s="12">
        <v>2.0</v>
      </c>
      <c r="B108" s="12"/>
      <c r="C108" s="13" t="s">
        <v>1281</v>
      </c>
      <c r="D108" s="13"/>
      <c r="E108" s="12" t="s">
        <v>88</v>
      </c>
      <c r="F108" s="12">
        <v>1.0</v>
      </c>
      <c r="G108" s="12">
        <v>250.0</v>
      </c>
      <c r="H108" s="12"/>
      <c r="I108" s="12" t="s">
        <v>145</v>
      </c>
      <c r="J108" s="13"/>
      <c r="K108" s="13" t="s">
        <v>94</v>
      </c>
      <c r="L108" s="13"/>
      <c r="M108" s="12" t="s">
        <v>72</v>
      </c>
      <c r="N108" s="14" t="s">
        <v>1572</v>
      </c>
      <c r="O108" s="14" t="s">
        <v>504</v>
      </c>
      <c r="P108" s="15">
        <v>9.9312</v>
      </c>
      <c r="Q108" s="15">
        <v>76.2673</v>
      </c>
      <c r="R108" s="15">
        <v>1912.0</v>
      </c>
      <c r="S108" s="14" t="s">
        <v>104</v>
      </c>
      <c r="T108" s="15">
        <v>371.0</v>
      </c>
      <c r="U108" s="14" t="s">
        <v>105</v>
      </c>
      <c r="V108" s="14" t="s">
        <v>105</v>
      </c>
      <c r="W108" s="14" t="s">
        <v>105</v>
      </c>
      <c r="X108" s="14" t="s">
        <v>105</v>
      </c>
      <c r="Y108" s="14" t="s">
        <v>105</v>
      </c>
      <c r="Z108" s="14" t="s">
        <v>105</v>
      </c>
      <c r="AA108" s="14" t="s">
        <v>105</v>
      </c>
      <c r="AB108" s="14" t="s">
        <v>105</v>
      </c>
      <c r="AC108" s="14" t="s">
        <v>105</v>
      </c>
      <c r="AD108" s="14" t="s">
        <v>105</v>
      </c>
      <c r="AE108" s="14" t="s">
        <v>105</v>
      </c>
      <c r="AF108" s="14" t="s">
        <v>105</v>
      </c>
      <c r="AG108" s="14" t="s">
        <v>105</v>
      </c>
      <c r="AH108" s="101" t="s">
        <v>88</v>
      </c>
      <c r="AI108" s="120" t="s">
        <v>88</v>
      </c>
      <c r="AJ108" s="14" t="s">
        <v>1573</v>
      </c>
      <c r="AK108" s="14" t="s">
        <v>105</v>
      </c>
      <c r="AL108" s="14" t="s">
        <v>1574</v>
      </c>
      <c r="AM108" s="14" t="s">
        <v>1575</v>
      </c>
      <c r="AN108" s="14" t="s">
        <v>1576</v>
      </c>
      <c r="AO108" s="22" t="s">
        <v>1577</v>
      </c>
      <c r="AP108" s="14" t="s">
        <v>232</v>
      </c>
      <c r="AQ108" s="23">
        <v>46277.0</v>
      </c>
      <c r="AR108" s="24" t="s">
        <v>190</v>
      </c>
      <c r="AS108" s="25" t="s">
        <v>193</v>
      </c>
      <c r="AT108" s="86" t="s">
        <v>1578</v>
      </c>
      <c r="AU108" s="14" t="s">
        <v>197</v>
      </c>
    </row>
    <row r="109" ht="15.7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c r="AH109" s="5"/>
      <c r="AI109" s="5"/>
      <c r="AJ109" s="5"/>
      <c r="AK109" s="5"/>
      <c r="AL109" s="5"/>
      <c r="AM109" s="5"/>
      <c r="AN109" s="5"/>
      <c r="AO109" s="5"/>
      <c r="AP109" s="5"/>
      <c r="AQ109" s="5"/>
      <c r="AR109" s="5"/>
      <c r="AS109" s="5"/>
      <c r="AT109" s="5"/>
      <c r="AU109" s="5"/>
    </row>
    <row r="110" ht="15.7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c r="AH110" s="5"/>
      <c r="AI110" s="5"/>
      <c r="AJ110" s="5"/>
      <c r="AK110" s="5"/>
      <c r="AL110" s="5"/>
      <c r="AM110" s="5"/>
      <c r="AN110" s="5"/>
      <c r="AO110" s="5"/>
      <c r="AP110" s="5"/>
      <c r="AQ110" s="5"/>
      <c r="AR110" s="5"/>
      <c r="AS110" s="5"/>
      <c r="AT110" s="5"/>
      <c r="AU110" s="5"/>
    </row>
    <row r="111" ht="15.7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c r="AH111" s="5"/>
      <c r="AI111" s="5"/>
      <c r="AJ111" s="5"/>
      <c r="AK111" s="5"/>
      <c r="AL111" s="5"/>
      <c r="AM111" s="5"/>
      <c r="AN111" s="5"/>
      <c r="AO111" s="5"/>
      <c r="AP111" s="5"/>
      <c r="AQ111" s="5"/>
      <c r="AR111" s="5"/>
      <c r="AS111" s="5"/>
      <c r="AT111" s="5"/>
      <c r="AU111" s="5"/>
    </row>
    <row r="112" ht="15.7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c r="AH112" s="5"/>
      <c r="AI112" s="5"/>
      <c r="AJ112" s="5"/>
      <c r="AK112" s="5"/>
      <c r="AL112" s="5"/>
      <c r="AM112" s="5"/>
      <c r="AN112" s="5"/>
      <c r="AO112" s="5"/>
      <c r="AP112" s="5"/>
      <c r="AQ112" s="5"/>
      <c r="AR112" s="5"/>
      <c r="AS112" s="5"/>
      <c r="AT112" s="5"/>
      <c r="AU112" s="5"/>
    </row>
    <row r="113" ht="15.7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c r="AH113" s="5"/>
      <c r="AI113" s="5"/>
      <c r="AJ113" s="5"/>
      <c r="AK113" s="5"/>
      <c r="AL113" s="5"/>
      <c r="AM113" s="5"/>
      <c r="AN113" s="5"/>
      <c r="AO113" s="5"/>
      <c r="AP113" s="5"/>
      <c r="AQ113" s="5"/>
      <c r="AR113" s="5"/>
      <c r="AS113" s="5"/>
      <c r="AT113" s="5"/>
      <c r="AU113" s="5"/>
    </row>
    <row r="114" ht="15.7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c r="AI114" s="5"/>
      <c r="AJ114" s="5"/>
      <c r="AK114" s="5"/>
      <c r="AL114" s="5"/>
      <c r="AM114" s="5"/>
      <c r="AN114" s="5"/>
      <c r="AO114" s="5"/>
      <c r="AP114" s="5"/>
      <c r="AQ114" s="5"/>
      <c r="AR114" s="5"/>
      <c r="AS114" s="5"/>
      <c r="AT114" s="5"/>
      <c r="AU114" s="5"/>
    </row>
    <row r="115" ht="15.7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c r="AH115" s="5"/>
      <c r="AI115" s="5"/>
      <c r="AJ115" s="5"/>
      <c r="AK115" s="5"/>
      <c r="AL115" s="5"/>
      <c r="AM115" s="5"/>
      <c r="AN115" s="5"/>
      <c r="AO115" s="5"/>
      <c r="AP115" s="5"/>
      <c r="AQ115" s="5"/>
      <c r="AR115" s="5"/>
      <c r="AS115" s="5"/>
      <c r="AT115" s="5"/>
      <c r="AU115" s="5"/>
    </row>
    <row r="116" ht="15.7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c r="AH116" s="5"/>
      <c r="AI116" s="5"/>
      <c r="AJ116" s="5"/>
      <c r="AK116" s="5"/>
      <c r="AL116" s="5"/>
      <c r="AM116" s="5"/>
      <c r="AN116" s="5"/>
      <c r="AO116" s="5"/>
      <c r="AP116" s="5"/>
      <c r="AQ116" s="5"/>
      <c r="AR116" s="5"/>
      <c r="AS116" s="5"/>
      <c r="AT116" s="5"/>
      <c r="AU116" s="5"/>
    </row>
    <row r="117" ht="15.7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c r="AN117" s="5"/>
      <c r="AO117" s="5"/>
      <c r="AP117" s="5"/>
      <c r="AQ117" s="5"/>
      <c r="AR117" s="5"/>
      <c r="AS117" s="5"/>
      <c r="AT117" s="5"/>
      <c r="AU117" s="5"/>
    </row>
    <row r="118" ht="15.7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c r="AH118" s="5"/>
      <c r="AI118" s="5"/>
      <c r="AJ118" s="5"/>
      <c r="AK118" s="5"/>
      <c r="AL118" s="5"/>
      <c r="AM118" s="5"/>
      <c r="AN118" s="5"/>
      <c r="AO118" s="5"/>
      <c r="AP118" s="5"/>
      <c r="AQ118" s="5"/>
      <c r="AR118" s="5"/>
      <c r="AS118" s="5"/>
      <c r="AT118" s="5"/>
      <c r="AU118" s="5"/>
    </row>
    <row r="119" ht="15.7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c r="AH119" s="5"/>
      <c r="AI119" s="5"/>
      <c r="AJ119" s="5"/>
      <c r="AK119" s="5"/>
      <c r="AL119" s="5"/>
      <c r="AM119" s="5"/>
      <c r="AN119" s="5"/>
      <c r="AO119" s="5"/>
      <c r="AP119" s="5"/>
      <c r="AQ119" s="5"/>
      <c r="AR119" s="5"/>
      <c r="AS119" s="5"/>
      <c r="AT119" s="5"/>
      <c r="AU119" s="5"/>
    </row>
    <row r="120" ht="15.7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c r="AH120" s="5"/>
      <c r="AI120" s="5"/>
      <c r="AJ120" s="5"/>
      <c r="AK120" s="5"/>
      <c r="AL120" s="5"/>
      <c r="AM120" s="5"/>
      <c r="AN120" s="5"/>
      <c r="AO120" s="5"/>
    </row>
    <row r="121" ht="58.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c r="AI121" s="5"/>
      <c r="AJ121" s="5"/>
      <c r="AK121" s="5"/>
      <c r="AL121" s="5"/>
      <c r="AM121" s="5"/>
      <c r="AN121" s="5"/>
      <c r="AO121" s="5"/>
    </row>
    <row r="122" ht="15.7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c r="AH122" s="5"/>
      <c r="AI122" s="5"/>
      <c r="AJ122" s="5"/>
      <c r="AK122" s="5"/>
      <c r="AL122" s="5"/>
      <c r="AM122" s="5"/>
      <c r="AN122" s="5"/>
      <c r="AO122" s="5"/>
      <c r="AP122" s="5"/>
      <c r="AQ122" s="5"/>
      <c r="AR122" s="5"/>
      <c r="AS122" s="5"/>
      <c r="AT122" s="5"/>
      <c r="AU122" s="5"/>
    </row>
    <row r="123" ht="15.7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c r="AH123" s="5"/>
      <c r="AI123" s="5"/>
      <c r="AJ123" s="5"/>
      <c r="AK123" s="5"/>
      <c r="AL123" s="5"/>
      <c r="AM123" s="5"/>
      <c r="AN123" s="5"/>
      <c r="AO123" s="5"/>
      <c r="AP123" s="5"/>
      <c r="AQ123" s="5"/>
      <c r="AR123" s="5"/>
      <c r="AS123" s="5"/>
      <c r="AT123" s="5"/>
      <c r="AU123" s="5"/>
    </row>
    <row r="124" ht="15.7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c r="AH124" s="5"/>
      <c r="AI124" s="5"/>
      <c r="AJ124" s="5"/>
      <c r="AK124" s="5"/>
      <c r="AL124" s="5"/>
      <c r="AM124" s="5"/>
      <c r="AN124" s="5"/>
      <c r="AO124" s="5"/>
      <c r="AP124" s="5"/>
      <c r="AQ124" s="5"/>
      <c r="AR124" s="5"/>
      <c r="AS124" s="5"/>
      <c r="AT124" s="5"/>
      <c r="AU124" s="5"/>
    </row>
    <row r="125" ht="15.7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c r="AH125" s="5"/>
      <c r="AI125" s="5"/>
      <c r="AJ125" s="5"/>
      <c r="AK125" s="5"/>
      <c r="AL125" s="5"/>
      <c r="AM125" s="5"/>
      <c r="AN125" s="5"/>
      <c r="AO125" s="5"/>
      <c r="AP125" s="5"/>
      <c r="AQ125" s="5"/>
      <c r="AR125" s="5"/>
      <c r="AS125" s="5"/>
      <c r="AT125" s="5"/>
      <c r="AU125" s="5"/>
    </row>
    <row r="126" ht="15.7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c r="AH126" s="5"/>
      <c r="AI126" s="5"/>
      <c r="AJ126" s="5"/>
      <c r="AK126" s="5"/>
      <c r="AL126" s="5"/>
      <c r="AM126" s="5"/>
      <c r="AN126" s="5"/>
      <c r="AO126" s="5"/>
      <c r="AP126" s="5"/>
      <c r="AQ126" s="5"/>
      <c r="AR126" s="5"/>
      <c r="AS126" s="5"/>
      <c r="AT126" s="5"/>
      <c r="AU126" s="5"/>
    </row>
    <row r="127" ht="15.7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c r="AH127" s="5"/>
      <c r="AI127" s="5"/>
      <c r="AJ127" s="5"/>
      <c r="AK127" s="5"/>
      <c r="AL127" s="5"/>
      <c r="AM127" s="5"/>
      <c r="AN127" s="5"/>
      <c r="AO127" s="5"/>
      <c r="AP127" s="5"/>
      <c r="AQ127" s="5"/>
      <c r="AR127" s="5"/>
      <c r="AS127" s="5"/>
      <c r="AT127" s="5"/>
      <c r="AU127" s="5"/>
    </row>
    <row r="128" ht="15.7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c r="AK128" s="5"/>
      <c r="AL128" s="5"/>
      <c r="AM128" s="5"/>
      <c r="AN128" s="5"/>
      <c r="AO128" s="5"/>
      <c r="AP128" s="5"/>
      <c r="AQ128" s="5"/>
      <c r="AR128" s="5"/>
      <c r="AS128" s="5"/>
      <c r="AT128" s="5"/>
      <c r="AU128" s="5"/>
    </row>
    <row r="129" ht="15.7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c r="AH129" s="5"/>
      <c r="AI129" s="5"/>
      <c r="AJ129" s="5"/>
      <c r="AK129" s="5"/>
      <c r="AL129" s="5"/>
      <c r="AM129" s="5"/>
      <c r="AN129" s="5"/>
      <c r="AO129" s="5"/>
      <c r="AP129" s="5"/>
      <c r="AQ129" s="5"/>
      <c r="AR129" s="5"/>
      <c r="AS129" s="5"/>
      <c r="AT129" s="5"/>
      <c r="AU129" s="5"/>
    </row>
    <row r="130" ht="15.7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c r="AN130" s="5"/>
      <c r="AO130" s="5"/>
      <c r="AP130" s="5"/>
      <c r="AQ130" s="5"/>
      <c r="AR130" s="5"/>
      <c r="AS130" s="5"/>
      <c r="AT130" s="5"/>
      <c r="AU130" s="5"/>
    </row>
    <row r="131" ht="15.7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c r="AH131" s="5"/>
      <c r="AI131" s="5"/>
      <c r="AJ131" s="5"/>
      <c r="AK131" s="5"/>
      <c r="AL131" s="5"/>
      <c r="AM131" s="5"/>
      <c r="AN131" s="5"/>
      <c r="AO131" s="5"/>
      <c r="AP131" s="5"/>
      <c r="AQ131" s="5"/>
      <c r="AR131" s="5"/>
      <c r="AS131" s="5"/>
      <c r="AT131" s="5"/>
      <c r="AU131" s="5"/>
    </row>
    <row r="132" ht="15.7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c r="AH132" s="5"/>
      <c r="AI132" s="5"/>
      <c r="AJ132" s="5"/>
      <c r="AK132" s="5"/>
      <c r="AL132" s="5"/>
      <c r="AM132" s="5"/>
      <c r="AN132" s="5"/>
      <c r="AO132" s="5"/>
      <c r="AP132" s="5"/>
      <c r="AQ132" s="5"/>
      <c r="AR132" s="5"/>
      <c r="AS132" s="5"/>
      <c r="AT132" s="5"/>
      <c r="AU132" s="5"/>
    </row>
    <row r="133" ht="15.7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c r="AH133" s="5"/>
      <c r="AI133" s="5"/>
      <c r="AJ133" s="5"/>
      <c r="AK133" s="5"/>
      <c r="AL133" s="5"/>
      <c r="AM133" s="5"/>
      <c r="AN133" s="5"/>
      <c r="AO133" s="5"/>
      <c r="AP133" s="5"/>
      <c r="AQ133" s="5"/>
      <c r="AR133" s="5"/>
      <c r="AS133" s="5"/>
      <c r="AT133" s="5"/>
      <c r="AU133" s="5"/>
    </row>
    <row r="134" ht="15.7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c r="AH134" s="5"/>
      <c r="AI134" s="5"/>
      <c r="AJ134" s="5"/>
      <c r="AK134" s="5"/>
      <c r="AL134" s="5"/>
      <c r="AM134" s="5"/>
      <c r="AN134" s="5"/>
      <c r="AO134" s="5"/>
      <c r="AP134" s="5"/>
      <c r="AQ134" s="5"/>
      <c r="AR134" s="5"/>
      <c r="AS134" s="5"/>
      <c r="AT134" s="5"/>
      <c r="AU134" s="5"/>
    </row>
    <row r="135" ht="15.7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c r="AG135" s="5"/>
      <c r="AH135" s="5"/>
      <c r="AI135" s="5"/>
      <c r="AJ135" s="5"/>
      <c r="AK135" s="5"/>
      <c r="AL135" s="5"/>
      <c r="AM135" s="5"/>
      <c r="AN135" s="5"/>
      <c r="AO135" s="5"/>
      <c r="AP135" s="5"/>
      <c r="AQ135" s="5"/>
      <c r="AR135" s="5"/>
      <c r="AS135" s="5"/>
      <c r="AT135" s="5"/>
      <c r="AU135" s="5"/>
    </row>
    <row r="136" ht="15.7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c r="AH136" s="5"/>
      <c r="AI136" s="5"/>
      <c r="AJ136" s="5"/>
      <c r="AK136" s="5"/>
      <c r="AL136" s="5"/>
      <c r="AM136" s="5"/>
      <c r="AN136" s="5"/>
      <c r="AO136" s="5"/>
      <c r="AP136" s="5"/>
      <c r="AQ136" s="5"/>
      <c r="AR136" s="5"/>
      <c r="AS136" s="5"/>
      <c r="AT136" s="5"/>
      <c r="AU136" s="5"/>
    </row>
    <row r="137" ht="15.7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c r="AH137" s="5"/>
      <c r="AI137" s="5"/>
      <c r="AJ137" s="5"/>
      <c r="AK137" s="5"/>
      <c r="AL137" s="5"/>
      <c r="AM137" s="5"/>
      <c r="AN137" s="5"/>
      <c r="AO137" s="5"/>
      <c r="AP137" s="5"/>
      <c r="AQ137" s="5"/>
      <c r="AR137" s="5"/>
      <c r="AS137" s="5"/>
      <c r="AT137" s="5"/>
      <c r="AU137" s="5"/>
    </row>
    <row r="138" ht="15.7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c r="AH138" s="5"/>
      <c r="AI138" s="5"/>
      <c r="AJ138" s="5"/>
      <c r="AK138" s="5"/>
      <c r="AL138" s="5"/>
      <c r="AM138" s="5"/>
      <c r="AN138" s="5"/>
      <c r="AO138" s="5"/>
      <c r="AP138" s="5"/>
      <c r="AQ138" s="5"/>
      <c r="AR138" s="5"/>
      <c r="AS138" s="5"/>
      <c r="AT138" s="5"/>
      <c r="AU138" s="5"/>
    </row>
    <row r="139" ht="15.7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c r="AH139" s="5"/>
      <c r="AI139" s="5"/>
      <c r="AJ139" s="5"/>
      <c r="AK139" s="5"/>
      <c r="AL139" s="5"/>
      <c r="AM139" s="5"/>
      <c r="AN139" s="5"/>
      <c r="AO139" s="5"/>
      <c r="AP139" s="5"/>
      <c r="AQ139" s="5"/>
      <c r="AR139" s="5"/>
      <c r="AS139" s="5"/>
      <c r="AT139" s="5"/>
      <c r="AU139" s="5"/>
    </row>
    <row r="140" ht="15.7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c r="AH140" s="5"/>
      <c r="AI140" s="5"/>
      <c r="AJ140" s="5"/>
      <c r="AK140" s="5"/>
      <c r="AL140" s="5"/>
      <c r="AM140" s="5"/>
      <c r="AN140" s="5"/>
      <c r="AO140" s="5"/>
      <c r="AP140" s="5"/>
      <c r="AQ140" s="5"/>
      <c r="AR140" s="5"/>
      <c r="AS140" s="5"/>
      <c r="AT140" s="5"/>
      <c r="AU140" s="5"/>
    </row>
    <row r="141" ht="15.7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c r="AH141" s="5"/>
      <c r="AI141" s="5"/>
      <c r="AJ141" s="5"/>
      <c r="AK141" s="5"/>
      <c r="AL141" s="5"/>
      <c r="AM141" s="5"/>
      <c r="AN141" s="5"/>
      <c r="AO141" s="5"/>
      <c r="AP141" s="5"/>
      <c r="AQ141" s="5"/>
      <c r="AR141" s="5"/>
      <c r="AS141" s="5"/>
      <c r="AT141" s="5"/>
      <c r="AU141" s="5"/>
    </row>
    <row r="142" ht="15.7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c r="AH142" s="5"/>
      <c r="AI142" s="5"/>
      <c r="AJ142" s="5"/>
      <c r="AK142" s="5"/>
      <c r="AL142" s="5"/>
      <c r="AM142" s="5"/>
      <c r="AN142" s="5"/>
      <c r="AO142" s="5"/>
      <c r="AP142" s="5"/>
      <c r="AQ142" s="5"/>
      <c r="AR142" s="5"/>
      <c r="AS142" s="5"/>
      <c r="AT142" s="5"/>
      <c r="AU142" s="5"/>
    </row>
    <row r="143" ht="15.7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c r="AH143" s="5"/>
      <c r="AI143" s="5"/>
      <c r="AJ143" s="5"/>
      <c r="AK143" s="5"/>
      <c r="AL143" s="5"/>
      <c r="AM143" s="5"/>
      <c r="AN143" s="5"/>
      <c r="AO143" s="5"/>
      <c r="AP143" s="5"/>
      <c r="AQ143" s="5"/>
      <c r="AR143" s="5"/>
      <c r="AS143" s="5"/>
      <c r="AT143" s="5"/>
      <c r="AU143" s="5"/>
    </row>
    <row r="144" ht="15.7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c r="AH144" s="5"/>
      <c r="AI144" s="5"/>
      <c r="AJ144" s="5"/>
      <c r="AK144" s="5"/>
      <c r="AL144" s="5"/>
      <c r="AM144" s="5"/>
      <c r="AN144" s="5"/>
      <c r="AO144" s="5"/>
      <c r="AP144" s="5"/>
      <c r="AQ144" s="5"/>
      <c r="AR144" s="5"/>
      <c r="AS144" s="5"/>
      <c r="AT144" s="5"/>
      <c r="AU144" s="5"/>
    </row>
    <row r="145" ht="15.7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c r="AH145" s="5"/>
      <c r="AI145" s="5"/>
      <c r="AJ145" s="5"/>
      <c r="AK145" s="5"/>
      <c r="AL145" s="5"/>
      <c r="AM145" s="5"/>
      <c r="AN145" s="5"/>
      <c r="AO145" s="5"/>
      <c r="AP145" s="5"/>
      <c r="AQ145" s="5"/>
      <c r="AR145" s="5"/>
      <c r="AS145" s="5"/>
      <c r="AT145" s="5"/>
      <c r="AU145" s="5"/>
    </row>
    <row r="146" ht="15.7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c r="AH146" s="5"/>
      <c r="AI146" s="5"/>
      <c r="AJ146" s="5"/>
      <c r="AK146" s="5"/>
      <c r="AL146" s="5"/>
      <c r="AM146" s="5"/>
      <c r="AN146" s="5"/>
      <c r="AO146" s="5"/>
      <c r="AP146" s="5"/>
      <c r="AQ146" s="5"/>
      <c r="AR146" s="5"/>
      <c r="AS146" s="5"/>
      <c r="AT146" s="5"/>
      <c r="AU146" s="5"/>
    </row>
    <row r="147" ht="15.7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c r="AH147" s="5"/>
      <c r="AI147" s="5"/>
      <c r="AJ147" s="5"/>
      <c r="AK147" s="5"/>
      <c r="AL147" s="5"/>
      <c r="AM147" s="5"/>
      <c r="AN147" s="5"/>
      <c r="AO147" s="5"/>
      <c r="AP147" s="5"/>
      <c r="AQ147" s="5"/>
      <c r="AR147" s="5"/>
      <c r="AS147" s="5"/>
      <c r="AT147" s="5"/>
      <c r="AU147" s="5"/>
    </row>
    <row r="148" ht="15.7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c r="AG148" s="5"/>
      <c r="AH148" s="5"/>
      <c r="AI148" s="5"/>
      <c r="AJ148" s="5"/>
      <c r="AK148" s="5"/>
      <c r="AL148" s="5"/>
      <c r="AM148" s="5"/>
      <c r="AN148" s="5"/>
      <c r="AO148" s="5"/>
      <c r="AP148" s="5"/>
      <c r="AQ148" s="5"/>
      <c r="AR148" s="5"/>
      <c r="AS148" s="5"/>
      <c r="AT148" s="5"/>
      <c r="AU148" s="5"/>
    </row>
    <row r="149" ht="15.7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c r="AH149" s="5"/>
      <c r="AI149" s="5"/>
      <c r="AJ149" s="5"/>
      <c r="AK149" s="5"/>
      <c r="AL149" s="5"/>
      <c r="AM149" s="5"/>
      <c r="AN149" s="5"/>
      <c r="AO149" s="5"/>
      <c r="AP149" s="5"/>
      <c r="AQ149" s="5"/>
      <c r="AR149" s="5"/>
      <c r="AS149" s="5"/>
      <c r="AT149" s="5"/>
      <c r="AU149" s="5"/>
    </row>
    <row r="150" ht="15.7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c r="AK150" s="5"/>
      <c r="AL150" s="5"/>
      <c r="AM150" s="5"/>
      <c r="AN150" s="5"/>
      <c r="AO150" s="5"/>
      <c r="AP150" s="5"/>
      <c r="AQ150" s="5"/>
      <c r="AR150" s="5"/>
      <c r="AS150" s="5"/>
      <c r="AT150" s="5"/>
      <c r="AU150" s="5"/>
    </row>
    <row r="151" ht="15.7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c r="AH151" s="5"/>
      <c r="AI151" s="5"/>
      <c r="AJ151" s="5"/>
      <c r="AK151" s="5"/>
      <c r="AL151" s="5"/>
      <c r="AM151" s="5"/>
      <c r="AN151" s="5"/>
      <c r="AO151" s="5"/>
      <c r="AP151" s="5"/>
      <c r="AQ151" s="5"/>
      <c r="AR151" s="5"/>
      <c r="AS151" s="5"/>
      <c r="AT151" s="5"/>
      <c r="AU151" s="5"/>
    </row>
    <row r="152" ht="15.7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c r="AH152" s="5"/>
      <c r="AI152" s="5"/>
      <c r="AJ152" s="5"/>
      <c r="AK152" s="5"/>
      <c r="AL152" s="5"/>
      <c r="AM152" s="5"/>
      <c r="AN152" s="5"/>
      <c r="AO152" s="5"/>
      <c r="AP152" s="5"/>
      <c r="AQ152" s="5"/>
      <c r="AR152" s="5"/>
      <c r="AS152" s="5"/>
      <c r="AT152" s="5"/>
      <c r="AU152" s="5"/>
    </row>
    <row r="153" ht="15.7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c r="AH153" s="5"/>
      <c r="AI153" s="5"/>
      <c r="AJ153" s="5"/>
      <c r="AK153" s="5"/>
      <c r="AL153" s="5"/>
      <c r="AM153" s="5"/>
      <c r="AN153" s="5"/>
      <c r="AO153" s="5"/>
      <c r="AP153" s="5"/>
      <c r="AQ153" s="5"/>
      <c r="AR153" s="5"/>
      <c r="AS153" s="5"/>
      <c r="AT153" s="5"/>
      <c r="AU153" s="5"/>
    </row>
    <row r="154" ht="15.7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c r="AH154" s="5"/>
      <c r="AI154" s="5"/>
      <c r="AJ154" s="5"/>
      <c r="AK154" s="5"/>
      <c r="AL154" s="5"/>
      <c r="AM154" s="5"/>
      <c r="AN154" s="5"/>
      <c r="AO154" s="5"/>
      <c r="AP154" s="5"/>
      <c r="AQ154" s="5"/>
      <c r="AR154" s="5"/>
      <c r="AS154" s="5"/>
      <c r="AT154" s="5"/>
      <c r="AU154" s="5"/>
    </row>
    <row r="155" ht="15.7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c r="AH155" s="5"/>
      <c r="AI155" s="5"/>
      <c r="AJ155" s="5"/>
      <c r="AK155" s="5"/>
      <c r="AL155" s="5"/>
      <c r="AM155" s="5"/>
      <c r="AN155" s="5"/>
      <c r="AO155" s="5"/>
      <c r="AP155" s="5"/>
      <c r="AQ155" s="5"/>
      <c r="AR155" s="5"/>
      <c r="AS155" s="5"/>
      <c r="AT155" s="5"/>
      <c r="AU155" s="5"/>
    </row>
    <row r="156" ht="15.7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c r="AH156" s="5"/>
      <c r="AI156" s="5"/>
      <c r="AJ156" s="5"/>
      <c r="AK156" s="5"/>
      <c r="AL156" s="5"/>
      <c r="AM156" s="5"/>
      <c r="AN156" s="5"/>
      <c r="AO156" s="5"/>
      <c r="AP156" s="5"/>
      <c r="AQ156" s="5"/>
      <c r="AR156" s="5"/>
      <c r="AS156" s="5"/>
      <c r="AT156" s="5"/>
      <c r="AU156" s="5"/>
    </row>
    <row r="157" ht="15.7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c r="AH157" s="5"/>
      <c r="AI157" s="5"/>
      <c r="AJ157" s="5"/>
      <c r="AK157" s="5"/>
      <c r="AL157" s="5"/>
      <c r="AM157" s="5"/>
      <c r="AN157" s="5"/>
      <c r="AO157" s="5"/>
      <c r="AP157" s="5"/>
      <c r="AQ157" s="5"/>
      <c r="AR157" s="5"/>
      <c r="AS157" s="5"/>
      <c r="AT157" s="5"/>
      <c r="AU157" s="5"/>
    </row>
    <row r="158" ht="15.7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c r="AH158" s="5"/>
      <c r="AI158" s="5"/>
      <c r="AJ158" s="5"/>
      <c r="AK158" s="5"/>
      <c r="AL158" s="5"/>
      <c r="AM158" s="5"/>
      <c r="AN158" s="5"/>
      <c r="AO158" s="5"/>
      <c r="AP158" s="5"/>
      <c r="AQ158" s="5"/>
      <c r="AR158" s="5"/>
      <c r="AS158" s="5"/>
      <c r="AT158" s="5"/>
      <c r="AU158" s="5"/>
    </row>
    <row r="159" ht="15.7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c r="AH159" s="5"/>
      <c r="AI159" s="5"/>
      <c r="AJ159" s="5"/>
      <c r="AK159" s="5"/>
      <c r="AL159" s="5"/>
      <c r="AM159" s="5"/>
      <c r="AN159" s="5"/>
      <c r="AO159" s="5"/>
      <c r="AP159" s="5"/>
      <c r="AQ159" s="5"/>
      <c r="AR159" s="5"/>
      <c r="AS159" s="5"/>
      <c r="AT159" s="5"/>
      <c r="AU159" s="5"/>
    </row>
    <row r="160" ht="15.7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c r="AH160" s="5"/>
      <c r="AI160" s="5"/>
      <c r="AJ160" s="5"/>
      <c r="AK160" s="5"/>
      <c r="AL160" s="5"/>
      <c r="AM160" s="5"/>
      <c r="AN160" s="5"/>
      <c r="AO160" s="5"/>
      <c r="AP160" s="5"/>
      <c r="AQ160" s="5"/>
      <c r="AR160" s="5"/>
      <c r="AS160" s="5"/>
      <c r="AT160" s="5"/>
      <c r="AU160" s="5"/>
    </row>
    <row r="161" ht="15.7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c r="AH161" s="5"/>
      <c r="AI161" s="5"/>
      <c r="AJ161" s="5"/>
      <c r="AK161" s="5"/>
      <c r="AL161" s="5"/>
      <c r="AM161" s="5"/>
      <c r="AN161" s="5"/>
      <c r="AO161" s="5"/>
      <c r="AP161" s="5"/>
      <c r="AQ161" s="5"/>
      <c r="AR161" s="5"/>
      <c r="AS161" s="5"/>
      <c r="AT161" s="5"/>
      <c r="AU161" s="5"/>
    </row>
    <row r="162" ht="15.7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c r="AH162" s="5"/>
      <c r="AI162" s="5"/>
      <c r="AJ162" s="5"/>
      <c r="AK162" s="5"/>
      <c r="AL162" s="5"/>
      <c r="AM162" s="5"/>
      <c r="AN162" s="5"/>
      <c r="AO162" s="5"/>
      <c r="AP162" s="5"/>
      <c r="AQ162" s="5"/>
      <c r="AR162" s="5"/>
      <c r="AS162" s="5"/>
      <c r="AT162" s="5"/>
      <c r="AU162" s="5"/>
    </row>
    <row r="163" ht="15.7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c r="AH163" s="5"/>
      <c r="AI163" s="5"/>
      <c r="AJ163" s="5"/>
      <c r="AK163" s="5"/>
      <c r="AL163" s="5"/>
      <c r="AM163" s="5"/>
      <c r="AN163" s="5"/>
      <c r="AO163" s="5"/>
      <c r="AP163" s="5"/>
      <c r="AQ163" s="5"/>
      <c r="AR163" s="5"/>
      <c r="AS163" s="5"/>
      <c r="AT163" s="5"/>
      <c r="AU163" s="5"/>
    </row>
    <row r="164" ht="15.7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c r="AH164" s="5"/>
      <c r="AI164" s="5"/>
      <c r="AJ164" s="5"/>
      <c r="AK164" s="5"/>
      <c r="AL164" s="5"/>
      <c r="AM164" s="5"/>
      <c r="AN164" s="5"/>
      <c r="AO164" s="5"/>
      <c r="AP164" s="5"/>
      <c r="AQ164" s="5"/>
      <c r="AR164" s="5"/>
      <c r="AS164" s="5"/>
      <c r="AT164" s="5"/>
      <c r="AU164" s="5"/>
    </row>
    <row r="165" ht="15.7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c r="AH165" s="5"/>
      <c r="AI165" s="5"/>
      <c r="AJ165" s="5"/>
      <c r="AK165" s="5"/>
      <c r="AL165" s="5"/>
      <c r="AM165" s="5"/>
      <c r="AN165" s="5"/>
      <c r="AO165" s="5"/>
      <c r="AP165" s="5"/>
      <c r="AQ165" s="5"/>
      <c r="AR165" s="5"/>
      <c r="AS165" s="5"/>
      <c r="AT165" s="5"/>
      <c r="AU165" s="5"/>
    </row>
    <row r="166" ht="15.7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c r="AH166" s="5"/>
      <c r="AI166" s="5"/>
      <c r="AJ166" s="5"/>
      <c r="AK166" s="5"/>
      <c r="AL166" s="5"/>
      <c r="AM166" s="5"/>
      <c r="AN166" s="5"/>
      <c r="AO166" s="5"/>
      <c r="AP166" s="5"/>
      <c r="AQ166" s="5"/>
      <c r="AR166" s="5"/>
      <c r="AS166" s="5"/>
      <c r="AT166" s="5"/>
      <c r="AU166" s="5"/>
    </row>
    <row r="167" ht="15.7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c r="AH167" s="5"/>
      <c r="AI167" s="5"/>
      <c r="AJ167" s="5"/>
      <c r="AK167" s="5"/>
      <c r="AL167" s="5"/>
      <c r="AM167" s="5"/>
      <c r="AN167" s="5"/>
      <c r="AO167" s="5"/>
      <c r="AP167" s="5"/>
      <c r="AQ167" s="5"/>
      <c r="AR167" s="5"/>
      <c r="AS167" s="5"/>
      <c r="AT167" s="5"/>
      <c r="AU167" s="5"/>
    </row>
    <row r="168" ht="15.7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c r="AG168" s="5"/>
      <c r="AH168" s="5"/>
      <c r="AI168" s="5"/>
      <c r="AJ168" s="5"/>
      <c r="AK168" s="5"/>
      <c r="AL168" s="5"/>
      <c r="AM168" s="5"/>
      <c r="AN168" s="5"/>
      <c r="AO168" s="5"/>
      <c r="AP168" s="5"/>
      <c r="AQ168" s="5"/>
      <c r="AR168" s="5"/>
      <c r="AS168" s="5"/>
      <c r="AT168" s="5"/>
      <c r="AU168" s="5"/>
    </row>
    <row r="169" ht="15.7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c r="AH169" s="5"/>
      <c r="AI169" s="5"/>
      <c r="AJ169" s="5"/>
      <c r="AK169" s="5"/>
      <c r="AL169" s="5"/>
      <c r="AM169" s="5"/>
      <c r="AN169" s="5"/>
      <c r="AO169" s="5"/>
      <c r="AP169" s="5"/>
      <c r="AQ169" s="5"/>
      <c r="AR169" s="5"/>
      <c r="AS169" s="5"/>
      <c r="AT169" s="5"/>
      <c r="AU169" s="5"/>
    </row>
    <row r="170" ht="15.7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c r="AH170" s="5"/>
      <c r="AI170" s="5"/>
      <c r="AJ170" s="5"/>
      <c r="AK170" s="5"/>
      <c r="AL170" s="5"/>
      <c r="AM170" s="5"/>
      <c r="AN170" s="5"/>
      <c r="AO170" s="5"/>
      <c r="AP170" s="5"/>
      <c r="AQ170" s="5"/>
      <c r="AR170" s="5"/>
      <c r="AS170" s="5"/>
      <c r="AT170" s="5"/>
      <c r="AU170" s="5"/>
    </row>
    <row r="171" ht="15.7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c r="AH171" s="5"/>
      <c r="AI171" s="5"/>
      <c r="AJ171" s="5"/>
      <c r="AK171" s="5"/>
      <c r="AL171" s="5"/>
      <c r="AM171" s="5"/>
      <c r="AN171" s="5"/>
      <c r="AO171" s="5"/>
      <c r="AP171" s="5"/>
      <c r="AQ171" s="5"/>
      <c r="AR171" s="5"/>
      <c r="AS171" s="5"/>
      <c r="AT171" s="5"/>
      <c r="AU171" s="5"/>
    </row>
    <row r="172" ht="15.7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c r="AH172" s="5"/>
      <c r="AI172" s="5"/>
      <c r="AJ172" s="5"/>
      <c r="AK172" s="5"/>
      <c r="AL172" s="5"/>
      <c r="AM172" s="5"/>
      <c r="AN172" s="5"/>
      <c r="AO172" s="5"/>
      <c r="AP172" s="5"/>
      <c r="AQ172" s="5"/>
      <c r="AR172" s="5"/>
      <c r="AS172" s="5"/>
      <c r="AT172" s="5"/>
      <c r="AU172" s="5"/>
    </row>
    <row r="173" ht="15.7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c r="AH173" s="5"/>
      <c r="AI173" s="5"/>
      <c r="AJ173" s="5"/>
      <c r="AK173" s="5"/>
      <c r="AL173" s="5"/>
      <c r="AM173" s="5"/>
      <c r="AN173" s="5"/>
      <c r="AO173" s="5"/>
      <c r="AP173" s="5"/>
      <c r="AQ173" s="5"/>
      <c r="AR173" s="5"/>
      <c r="AS173" s="5"/>
      <c r="AT173" s="5"/>
      <c r="AU173" s="5"/>
    </row>
    <row r="174" ht="15.7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c r="AH174" s="5"/>
      <c r="AI174" s="5"/>
      <c r="AJ174" s="5"/>
      <c r="AK174" s="5"/>
      <c r="AL174" s="5"/>
      <c r="AM174" s="5"/>
      <c r="AN174" s="5"/>
      <c r="AO174" s="5"/>
      <c r="AP174" s="5"/>
      <c r="AQ174" s="5"/>
      <c r="AR174" s="5"/>
      <c r="AS174" s="5"/>
      <c r="AT174" s="5"/>
      <c r="AU174" s="5"/>
    </row>
    <row r="175" ht="15.7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c r="AH175" s="5"/>
      <c r="AI175" s="5"/>
      <c r="AJ175" s="5"/>
      <c r="AK175" s="5"/>
      <c r="AL175" s="5"/>
      <c r="AM175" s="5"/>
      <c r="AN175" s="5"/>
      <c r="AO175" s="5"/>
      <c r="AP175" s="5"/>
      <c r="AQ175" s="5"/>
      <c r="AR175" s="5"/>
      <c r="AS175" s="5"/>
      <c r="AT175" s="5"/>
      <c r="AU175" s="5"/>
    </row>
    <row r="176" ht="15.7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c r="AH176" s="5"/>
      <c r="AI176" s="5"/>
      <c r="AJ176" s="5"/>
      <c r="AK176" s="5"/>
      <c r="AL176" s="5"/>
      <c r="AM176" s="5"/>
      <c r="AN176" s="5"/>
      <c r="AO176" s="5"/>
      <c r="AP176" s="5"/>
      <c r="AQ176" s="5"/>
      <c r="AR176" s="5"/>
      <c r="AS176" s="5"/>
      <c r="AT176" s="5"/>
      <c r="AU176" s="5"/>
    </row>
    <row r="177" ht="15.7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c r="AH177" s="5"/>
      <c r="AI177" s="5"/>
      <c r="AJ177" s="5"/>
      <c r="AK177" s="5"/>
      <c r="AL177" s="5"/>
      <c r="AM177" s="5"/>
      <c r="AN177" s="5"/>
      <c r="AO177" s="5"/>
      <c r="AP177" s="5"/>
      <c r="AQ177" s="5"/>
      <c r="AR177" s="5"/>
      <c r="AS177" s="5"/>
      <c r="AT177" s="5"/>
      <c r="AU177" s="5"/>
    </row>
    <row r="178" ht="15.7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c r="AH178" s="5"/>
      <c r="AI178" s="5"/>
      <c r="AJ178" s="5"/>
      <c r="AK178" s="5"/>
      <c r="AL178" s="5"/>
      <c r="AM178" s="5"/>
      <c r="AN178" s="5"/>
      <c r="AO178" s="5"/>
      <c r="AP178" s="5"/>
      <c r="AQ178" s="5"/>
      <c r="AR178" s="5"/>
      <c r="AS178" s="5"/>
      <c r="AT178" s="5"/>
      <c r="AU178" s="5"/>
    </row>
    <row r="179" ht="15.7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c r="AH179" s="5"/>
      <c r="AI179" s="5"/>
      <c r="AJ179" s="5"/>
      <c r="AK179" s="5"/>
      <c r="AL179" s="5"/>
      <c r="AM179" s="5"/>
      <c r="AN179" s="5"/>
      <c r="AO179" s="5"/>
      <c r="AP179" s="5"/>
      <c r="AQ179" s="5"/>
      <c r="AR179" s="5"/>
      <c r="AS179" s="5"/>
      <c r="AT179" s="5"/>
      <c r="AU179" s="5"/>
    </row>
    <row r="180" ht="15.7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c r="AH180" s="5"/>
      <c r="AI180" s="5"/>
      <c r="AJ180" s="5"/>
      <c r="AK180" s="5"/>
      <c r="AL180" s="5"/>
      <c r="AM180" s="5"/>
      <c r="AN180" s="5"/>
      <c r="AO180" s="5"/>
      <c r="AP180" s="5"/>
      <c r="AQ180" s="5"/>
      <c r="AR180" s="5"/>
      <c r="AS180" s="5"/>
      <c r="AT180" s="5"/>
      <c r="AU180" s="5"/>
    </row>
    <row r="181" ht="15.7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c r="AH181" s="5"/>
      <c r="AI181" s="5"/>
      <c r="AJ181" s="5"/>
      <c r="AK181" s="5"/>
      <c r="AL181" s="5"/>
      <c r="AM181" s="5"/>
      <c r="AN181" s="5"/>
      <c r="AO181" s="5"/>
      <c r="AP181" s="5"/>
      <c r="AQ181" s="5"/>
      <c r="AR181" s="5"/>
      <c r="AS181" s="5"/>
      <c r="AT181" s="5"/>
      <c r="AU181" s="5"/>
    </row>
    <row r="182" ht="15.7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c r="AH182" s="5"/>
      <c r="AI182" s="5"/>
      <c r="AJ182" s="5"/>
      <c r="AK182" s="5"/>
      <c r="AL182" s="5"/>
      <c r="AM182" s="5"/>
      <c r="AN182" s="5"/>
      <c r="AO182" s="5"/>
      <c r="AP182" s="5"/>
      <c r="AQ182" s="5"/>
      <c r="AR182" s="5"/>
      <c r="AS182" s="5"/>
      <c r="AT182" s="5"/>
      <c r="AU182" s="5"/>
    </row>
    <row r="183" ht="15.7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c r="AH183" s="5"/>
      <c r="AI183" s="5"/>
      <c r="AJ183" s="5"/>
      <c r="AK183" s="5"/>
      <c r="AL183" s="5"/>
      <c r="AM183" s="5"/>
      <c r="AN183" s="5"/>
      <c r="AO183" s="5"/>
      <c r="AP183" s="5"/>
      <c r="AQ183" s="5"/>
      <c r="AR183" s="5"/>
      <c r="AS183" s="5"/>
      <c r="AT183" s="5"/>
      <c r="AU183" s="5"/>
    </row>
    <row r="184" ht="15.7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c r="AH184" s="5"/>
      <c r="AI184" s="5"/>
      <c r="AJ184" s="5"/>
      <c r="AK184" s="5"/>
      <c r="AL184" s="5"/>
      <c r="AM184" s="5"/>
      <c r="AN184" s="5"/>
      <c r="AO184" s="5"/>
      <c r="AP184" s="5"/>
      <c r="AQ184" s="5"/>
      <c r="AR184" s="5"/>
      <c r="AS184" s="5"/>
      <c r="AT184" s="5"/>
      <c r="AU184" s="5"/>
    </row>
    <row r="185" ht="15.7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c r="AH185" s="5"/>
      <c r="AI185" s="5"/>
      <c r="AJ185" s="5"/>
      <c r="AK185" s="5"/>
      <c r="AL185" s="5"/>
      <c r="AM185" s="5"/>
      <c r="AN185" s="5"/>
      <c r="AO185" s="5"/>
      <c r="AP185" s="5"/>
      <c r="AQ185" s="5"/>
      <c r="AR185" s="5"/>
      <c r="AS185" s="5"/>
      <c r="AT185" s="5"/>
      <c r="AU185" s="5"/>
    </row>
    <row r="186" ht="15.7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c r="AH186" s="5"/>
      <c r="AI186" s="5"/>
      <c r="AJ186" s="5"/>
      <c r="AK186" s="5"/>
      <c r="AL186" s="5"/>
      <c r="AM186" s="5"/>
      <c r="AN186" s="5"/>
      <c r="AO186" s="5"/>
      <c r="AP186" s="5"/>
      <c r="AQ186" s="5"/>
      <c r="AR186" s="5"/>
      <c r="AS186" s="5"/>
      <c r="AT186" s="5"/>
      <c r="AU186" s="5"/>
    </row>
    <row r="187" ht="15.7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c r="AH187" s="5"/>
      <c r="AI187" s="5"/>
      <c r="AJ187" s="5"/>
      <c r="AK187" s="5"/>
      <c r="AL187" s="5"/>
      <c r="AM187" s="5"/>
      <c r="AN187" s="5"/>
      <c r="AO187" s="5"/>
      <c r="AP187" s="5"/>
      <c r="AQ187" s="5"/>
      <c r="AR187" s="5"/>
      <c r="AS187" s="5"/>
      <c r="AT187" s="5"/>
      <c r="AU187" s="5"/>
    </row>
    <row r="188" ht="15.7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c r="AH188" s="5"/>
      <c r="AI188" s="5"/>
      <c r="AJ188" s="5"/>
      <c r="AK188" s="5"/>
      <c r="AL188" s="5"/>
      <c r="AM188" s="5"/>
      <c r="AN188" s="5"/>
      <c r="AO188" s="5"/>
      <c r="AP188" s="5"/>
      <c r="AQ188" s="5"/>
      <c r="AR188" s="5"/>
      <c r="AS188" s="5"/>
      <c r="AT188" s="5"/>
      <c r="AU188" s="5"/>
    </row>
    <row r="189" ht="15.7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c r="AH189" s="5"/>
      <c r="AI189" s="5"/>
      <c r="AJ189" s="5"/>
      <c r="AK189" s="5"/>
      <c r="AL189" s="5"/>
      <c r="AM189" s="5"/>
      <c r="AN189" s="5"/>
      <c r="AO189" s="5"/>
      <c r="AP189" s="5"/>
      <c r="AQ189" s="5"/>
      <c r="AR189" s="5"/>
      <c r="AS189" s="5"/>
      <c r="AT189" s="5"/>
      <c r="AU189" s="5"/>
    </row>
    <row r="190" ht="15.7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c r="AH190" s="5"/>
      <c r="AI190" s="5"/>
      <c r="AJ190" s="5"/>
      <c r="AK190" s="5"/>
      <c r="AL190" s="5"/>
      <c r="AM190" s="5"/>
      <c r="AN190" s="5"/>
      <c r="AO190" s="5"/>
      <c r="AP190" s="5"/>
      <c r="AQ190" s="5"/>
      <c r="AR190" s="5"/>
      <c r="AS190" s="5"/>
      <c r="AT190" s="5"/>
      <c r="AU190" s="5"/>
    </row>
    <row r="191" ht="15.7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c r="AH191" s="5"/>
      <c r="AI191" s="5"/>
      <c r="AJ191" s="5"/>
      <c r="AK191" s="5"/>
      <c r="AL191" s="5"/>
      <c r="AM191" s="5"/>
      <c r="AN191" s="5"/>
      <c r="AO191" s="5"/>
      <c r="AP191" s="5"/>
      <c r="AQ191" s="5"/>
      <c r="AR191" s="5"/>
      <c r="AS191" s="5"/>
      <c r="AT191" s="5"/>
      <c r="AU191" s="5"/>
    </row>
    <row r="192" ht="15.7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c r="AH192" s="5"/>
      <c r="AI192" s="5"/>
      <c r="AJ192" s="5"/>
      <c r="AK192" s="5"/>
      <c r="AL192" s="5"/>
      <c r="AM192" s="5"/>
      <c r="AN192" s="5"/>
      <c r="AO192" s="5"/>
      <c r="AP192" s="5"/>
      <c r="AQ192" s="5"/>
      <c r="AR192" s="5"/>
      <c r="AS192" s="5"/>
      <c r="AT192" s="5"/>
      <c r="AU192" s="5"/>
    </row>
    <row r="193" ht="15.7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c r="AH193" s="5"/>
      <c r="AI193" s="5"/>
      <c r="AJ193" s="5"/>
      <c r="AK193" s="5"/>
      <c r="AL193" s="5"/>
      <c r="AM193" s="5"/>
      <c r="AN193" s="5"/>
      <c r="AO193" s="5"/>
      <c r="AP193" s="5"/>
      <c r="AQ193" s="5"/>
      <c r="AR193" s="5"/>
      <c r="AS193" s="5"/>
      <c r="AT193" s="5"/>
      <c r="AU193" s="5"/>
    </row>
    <row r="194" ht="15.7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c r="AH194" s="5"/>
      <c r="AI194" s="5"/>
      <c r="AJ194" s="5"/>
      <c r="AK194" s="5"/>
      <c r="AL194" s="5"/>
      <c r="AM194" s="5"/>
      <c r="AN194" s="5"/>
      <c r="AO194" s="5"/>
      <c r="AP194" s="5"/>
      <c r="AQ194" s="5"/>
      <c r="AR194" s="5"/>
      <c r="AS194" s="5"/>
      <c r="AT194" s="5"/>
      <c r="AU194" s="5"/>
    </row>
    <row r="195" ht="15.7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c r="AH195" s="5"/>
      <c r="AI195" s="5"/>
      <c r="AJ195" s="5"/>
      <c r="AK195" s="5"/>
      <c r="AL195" s="5"/>
      <c r="AM195" s="5"/>
      <c r="AN195" s="5"/>
      <c r="AO195" s="5"/>
      <c r="AP195" s="5"/>
      <c r="AQ195" s="5"/>
      <c r="AR195" s="5"/>
      <c r="AS195" s="5"/>
      <c r="AT195" s="5"/>
      <c r="AU195" s="5"/>
    </row>
    <row r="196" ht="15.7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c r="AH196" s="5"/>
      <c r="AI196" s="5"/>
      <c r="AJ196" s="5"/>
      <c r="AK196" s="5"/>
      <c r="AL196" s="5"/>
      <c r="AM196" s="5"/>
      <c r="AN196" s="5"/>
      <c r="AO196" s="5"/>
      <c r="AP196" s="5"/>
      <c r="AQ196" s="5"/>
      <c r="AR196" s="5"/>
      <c r="AS196" s="5"/>
      <c r="AT196" s="5"/>
      <c r="AU196" s="5"/>
    </row>
    <row r="197" ht="15.7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c r="AG197" s="5"/>
      <c r="AH197" s="5"/>
      <c r="AI197" s="5"/>
      <c r="AJ197" s="5"/>
      <c r="AK197" s="5"/>
      <c r="AL197" s="5"/>
      <c r="AM197" s="5"/>
      <c r="AN197" s="5"/>
      <c r="AO197" s="5"/>
      <c r="AP197" s="5"/>
      <c r="AQ197" s="5"/>
      <c r="AR197" s="5"/>
      <c r="AS197" s="5"/>
      <c r="AT197" s="5"/>
      <c r="AU197" s="5"/>
    </row>
    <row r="198" ht="15.7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c r="AG198" s="5"/>
      <c r="AH198" s="5"/>
      <c r="AI198" s="5"/>
      <c r="AJ198" s="5"/>
      <c r="AK198" s="5"/>
      <c r="AL198" s="5"/>
      <c r="AM198" s="5"/>
      <c r="AN198" s="5"/>
      <c r="AO198" s="5"/>
      <c r="AP198" s="5"/>
      <c r="AQ198" s="5"/>
      <c r="AR198" s="5"/>
      <c r="AS198" s="5"/>
      <c r="AT198" s="5"/>
      <c r="AU198" s="5"/>
    </row>
    <row r="199" ht="15.7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c r="AH199" s="5"/>
      <c r="AI199" s="5"/>
      <c r="AJ199" s="5"/>
      <c r="AK199" s="5"/>
      <c r="AL199" s="5"/>
      <c r="AM199" s="5"/>
      <c r="AN199" s="5"/>
      <c r="AO199" s="5"/>
      <c r="AP199" s="5"/>
      <c r="AQ199" s="5"/>
      <c r="AR199" s="5"/>
      <c r="AS199" s="5"/>
      <c r="AT199" s="5"/>
      <c r="AU199" s="5"/>
    </row>
    <row r="200" ht="15.7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c r="AH200" s="5"/>
      <c r="AI200" s="5"/>
      <c r="AJ200" s="5"/>
      <c r="AK200" s="5"/>
      <c r="AL200" s="5"/>
      <c r="AM200" s="5"/>
      <c r="AN200" s="5"/>
      <c r="AO200" s="5"/>
      <c r="AP200" s="5"/>
      <c r="AQ200" s="5"/>
      <c r="AR200" s="5"/>
      <c r="AS200" s="5"/>
      <c r="AT200" s="5"/>
      <c r="AU200" s="5"/>
    </row>
    <row r="201" ht="15.7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c r="AH201" s="5"/>
      <c r="AI201" s="5"/>
      <c r="AJ201" s="5"/>
      <c r="AK201" s="5"/>
      <c r="AL201" s="5"/>
      <c r="AM201" s="5"/>
      <c r="AN201" s="5"/>
      <c r="AO201" s="5"/>
      <c r="AP201" s="5"/>
      <c r="AQ201" s="5"/>
      <c r="AR201" s="5"/>
      <c r="AS201" s="5"/>
      <c r="AT201" s="5"/>
      <c r="AU201" s="5"/>
    </row>
    <row r="202" ht="15.7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c r="AH202" s="5"/>
      <c r="AI202" s="5"/>
      <c r="AJ202" s="5"/>
      <c r="AK202" s="5"/>
      <c r="AL202" s="5"/>
      <c r="AM202" s="5"/>
      <c r="AN202" s="5"/>
      <c r="AO202" s="5"/>
      <c r="AP202" s="5"/>
      <c r="AQ202" s="5"/>
      <c r="AR202" s="5"/>
      <c r="AS202" s="5"/>
      <c r="AT202" s="5"/>
      <c r="AU202" s="5"/>
    </row>
    <row r="203" ht="15.7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c r="AG203" s="5"/>
      <c r="AH203" s="5"/>
      <c r="AI203" s="5"/>
      <c r="AJ203" s="5"/>
      <c r="AK203" s="5"/>
      <c r="AL203" s="5"/>
      <c r="AM203" s="5"/>
      <c r="AN203" s="5"/>
      <c r="AO203" s="5"/>
      <c r="AP203" s="5"/>
      <c r="AQ203" s="5"/>
      <c r="AR203" s="5"/>
      <c r="AS203" s="5"/>
      <c r="AT203" s="5"/>
      <c r="AU203" s="5"/>
    </row>
    <row r="204" ht="15.7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c r="AH204" s="5"/>
      <c r="AI204" s="5"/>
      <c r="AJ204" s="5"/>
      <c r="AK204" s="5"/>
      <c r="AL204" s="5"/>
      <c r="AM204" s="5"/>
      <c r="AN204" s="5"/>
      <c r="AO204" s="5"/>
      <c r="AP204" s="5"/>
      <c r="AQ204" s="5"/>
      <c r="AR204" s="5"/>
      <c r="AS204" s="5"/>
      <c r="AT204" s="5"/>
      <c r="AU204" s="5"/>
    </row>
    <row r="205" ht="15.7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c r="AH205" s="5"/>
      <c r="AI205" s="5"/>
      <c r="AJ205" s="5"/>
      <c r="AK205" s="5"/>
      <c r="AL205" s="5"/>
      <c r="AM205" s="5"/>
      <c r="AN205" s="5"/>
      <c r="AO205" s="5"/>
      <c r="AP205" s="5"/>
      <c r="AQ205" s="5"/>
      <c r="AR205" s="5"/>
      <c r="AS205" s="5"/>
      <c r="AT205" s="5"/>
      <c r="AU205" s="5"/>
    </row>
    <row r="206" ht="15.7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c r="AH206" s="5"/>
      <c r="AI206" s="5"/>
      <c r="AJ206" s="5"/>
      <c r="AK206" s="5"/>
      <c r="AL206" s="5"/>
      <c r="AM206" s="5"/>
      <c r="AN206" s="5"/>
      <c r="AO206" s="5"/>
      <c r="AP206" s="5"/>
      <c r="AQ206" s="5"/>
      <c r="AR206" s="5"/>
      <c r="AS206" s="5"/>
      <c r="AT206" s="5"/>
      <c r="AU206" s="5"/>
    </row>
    <row r="207" ht="15.7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c r="AH207" s="5"/>
      <c r="AI207" s="5"/>
      <c r="AJ207" s="5"/>
      <c r="AK207" s="5"/>
      <c r="AL207" s="5"/>
      <c r="AM207" s="5"/>
      <c r="AN207" s="5"/>
      <c r="AO207" s="5"/>
      <c r="AP207" s="5"/>
      <c r="AQ207" s="5"/>
      <c r="AR207" s="5"/>
      <c r="AS207" s="5"/>
      <c r="AT207" s="5"/>
      <c r="AU207" s="5"/>
    </row>
    <row r="208" ht="15.7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c r="AG208" s="5"/>
      <c r="AH208" s="5"/>
      <c r="AI208" s="5"/>
      <c r="AJ208" s="5"/>
      <c r="AK208" s="5"/>
      <c r="AL208" s="5"/>
      <c r="AM208" s="5"/>
      <c r="AN208" s="5"/>
      <c r="AO208" s="5"/>
      <c r="AP208" s="5"/>
      <c r="AQ208" s="5"/>
      <c r="AR208" s="5"/>
      <c r="AS208" s="5"/>
      <c r="AT208" s="5"/>
      <c r="AU208" s="5"/>
    </row>
    <row r="209" ht="15.7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c r="AH209" s="5"/>
      <c r="AI209" s="5"/>
      <c r="AJ209" s="5"/>
      <c r="AK209" s="5"/>
      <c r="AL209" s="5"/>
      <c r="AM209" s="5"/>
      <c r="AN209" s="5"/>
      <c r="AO209" s="5"/>
      <c r="AP209" s="5"/>
      <c r="AQ209" s="5"/>
      <c r="AR209" s="5"/>
      <c r="AS209" s="5"/>
      <c r="AT209" s="5"/>
      <c r="AU209" s="5"/>
    </row>
    <row r="210" ht="15.7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c r="AH210" s="5"/>
      <c r="AI210" s="5"/>
      <c r="AJ210" s="5"/>
      <c r="AK210" s="5"/>
      <c r="AL210" s="5"/>
      <c r="AM210" s="5"/>
      <c r="AN210" s="5"/>
      <c r="AO210" s="5"/>
      <c r="AP210" s="5"/>
      <c r="AQ210" s="5"/>
      <c r="AR210" s="5"/>
      <c r="AS210" s="5"/>
      <c r="AT210" s="5"/>
      <c r="AU210" s="5"/>
    </row>
    <row r="211" ht="15.7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c r="AH211" s="5"/>
      <c r="AI211" s="5"/>
      <c r="AJ211" s="5"/>
      <c r="AK211" s="5"/>
      <c r="AL211" s="5"/>
      <c r="AM211" s="5"/>
      <c r="AN211" s="5"/>
      <c r="AO211" s="5"/>
      <c r="AP211" s="5"/>
      <c r="AQ211" s="5"/>
      <c r="AR211" s="5"/>
      <c r="AS211" s="5"/>
      <c r="AT211" s="5"/>
      <c r="AU211" s="5"/>
    </row>
    <row r="212" ht="15.7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c r="AH212" s="5"/>
      <c r="AI212" s="5"/>
      <c r="AJ212" s="5"/>
      <c r="AK212" s="5"/>
      <c r="AL212" s="5"/>
      <c r="AM212" s="5"/>
      <c r="AN212" s="5"/>
      <c r="AO212" s="5"/>
      <c r="AP212" s="5"/>
      <c r="AQ212" s="5"/>
      <c r="AR212" s="5"/>
      <c r="AS212" s="5"/>
      <c r="AT212" s="5"/>
      <c r="AU212" s="5"/>
    </row>
    <row r="213" ht="15.7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c r="AH213" s="5"/>
      <c r="AI213" s="5"/>
      <c r="AJ213" s="5"/>
      <c r="AK213" s="5"/>
      <c r="AL213" s="5"/>
      <c r="AM213" s="5"/>
      <c r="AN213" s="5"/>
      <c r="AO213" s="5"/>
      <c r="AP213" s="5"/>
      <c r="AQ213" s="5"/>
      <c r="AR213" s="5"/>
      <c r="AS213" s="5"/>
      <c r="AT213" s="5"/>
      <c r="AU213" s="5"/>
    </row>
    <row r="214" ht="15.7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c r="AH214" s="5"/>
      <c r="AI214" s="5"/>
      <c r="AJ214" s="5"/>
      <c r="AK214" s="5"/>
      <c r="AL214" s="5"/>
      <c r="AM214" s="5"/>
      <c r="AN214" s="5"/>
      <c r="AO214" s="5"/>
      <c r="AP214" s="5"/>
      <c r="AQ214" s="5"/>
      <c r="AR214" s="5"/>
      <c r="AS214" s="5"/>
      <c r="AT214" s="5"/>
      <c r="AU214" s="5"/>
    </row>
    <row r="215" ht="15.7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c r="AH215" s="5"/>
      <c r="AI215" s="5"/>
      <c r="AJ215" s="5"/>
      <c r="AK215" s="5"/>
      <c r="AL215" s="5"/>
      <c r="AM215" s="5"/>
      <c r="AN215" s="5"/>
      <c r="AO215" s="5"/>
      <c r="AP215" s="5"/>
      <c r="AQ215" s="5"/>
      <c r="AR215" s="5"/>
      <c r="AS215" s="5"/>
      <c r="AT215" s="5"/>
      <c r="AU215" s="5"/>
    </row>
    <row r="216" ht="15.7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c r="AH216" s="5"/>
      <c r="AI216" s="5"/>
      <c r="AJ216" s="5"/>
      <c r="AK216" s="5"/>
      <c r="AL216" s="5"/>
      <c r="AM216" s="5"/>
      <c r="AN216" s="5"/>
      <c r="AO216" s="5"/>
      <c r="AP216" s="5"/>
      <c r="AQ216" s="5"/>
      <c r="AR216" s="5"/>
      <c r="AS216" s="5"/>
      <c r="AT216" s="5"/>
      <c r="AU216" s="5"/>
    </row>
    <row r="217" ht="15.7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c r="AH217" s="5"/>
      <c r="AI217" s="5"/>
      <c r="AJ217" s="5"/>
      <c r="AK217" s="5"/>
      <c r="AL217" s="5"/>
      <c r="AM217" s="5"/>
      <c r="AN217" s="5"/>
      <c r="AO217" s="5"/>
      <c r="AP217" s="5"/>
      <c r="AQ217" s="5"/>
      <c r="AR217" s="5"/>
      <c r="AS217" s="5"/>
      <c r="AT217" s="5"/>
      <c r="AU217" s="5"/>
    </row>
    <row r="218" ht="15.7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c r="AH218" s="5"/>
      <c r="AI218" s="5"/>
      <c r="AJ218" s="5"/>
      <c r="AK218" s="5"/>
      <c r="AL218" s="5"/>
      <c r="AM218" s="5"/>
      <c r="AN218" s="5"/>
      <c r="AO218" s="5"/>
      <c r="AP218" s="5"/>
      <c r="AQ218" s="5"/>
      <c r="AR218" s="5"/>
      <c r="AS218" s="5"/>
      <c r="AT218" s="5"/>
      <c r="AU218" s="5"/>
    </row>
    <row r="219" ht="15.7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c r="AH219" s="5"/>
      <c r="AI219" s="5"/>
      <c r="AJ219" s="5"/>
      <c r="AK219" s="5"/>
      <c r="AL219" s="5"/>
      <c r="AM219" s="5"/>
      <c r="AN219" s="5"/>
      <c r="AO219" s="5"/>
      <c r="AP219" s="5"/>
      <c r="AQ219" s="5"/>
      <c r="AR219" s="5"/>
      <c r="AS219" s="5"/>
      <c r="AT219" s="5"/>
      <c r="AU219" s="5"/>
    </row>
    <row r="220" ht="15.7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c r="AH220" s="5"/>
      <c r="AI220" s="5"/>
      <c r="AJ220" s="5"/>
      <c r="AK220" s="5"/>
      <c r="AL220" s="5"/>
      <c r="AM220" s="5"/>
      <c r="AN220" s="5"/>
      <c r="AO220" s="5"/>
      <c r="AP220" s="5"/>
      <c r="AQ220" s="5"/>
      <c r="AR220" s="5"/>
      <c r="AS220" s="5"/>
      <c r="AT220" s="5"/>
      <c r="AU220" s="5"/>
    </row>
    <row r="221" ht="15.7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c r="AH221" s="5"/>
      <c r="AI221" s="5"/>
      <c r="AJ221" s="5"/>
      <c r="AK221" s="5"/>
      <c r="AL221" s="5"/>
      <c r="AM221" s="5"/>
      <c r="AN221" s="5"/>
      <c r="AO221" s="5"/>
      <c r="AP221" s="5"/>
      <c r="AQ221" s="5"/>
      <c r="AR221" s="5"/>
      <c r="AS221" s="5"/>
      <c r="AT221" s="5"/>
      <c r="AU221" s="5"/>
    </row>
    <row r="222" ht="15.7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c r="AH222" s="5"/>
      <c r="AI222" s="5"/>
      <c r="AJ222" s="5"/>
      <c r="AK222" s="5"/>
      <c r="AL222" s="5"/>
      <c r="AM222" s="5"/>
      <c r="AN222" s="5"/>
      <c r="AO222" s="5"/>
      <c r="AP222" s="5"/>
      <c r="AQ222" s="5"/>
      <c r="AR222" s="5"/>
      <c r="AS222" s="5"/>
      <c r="AT222" s="5"/>
      <c r="AU222" s="5"/>
    </row>
    <row r="223" ht="15.7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c r="AH223" s="5"/>
      <c r="AI223" s="5"/>
      <c r="AJ223" s="5"/>
      <c r="AK223" s="5"/>
      <c r="AL223" s="5"/>
      <c r="AM223" s="5"/>
      <c r="AN223" s="5"/>
      <c r="AO223" s="5"/>
      <c r="AP223" s="5"/>
      <c r="AQ223" s="5"/>
      <c r="AR223" s="5"/>
      <c r="AS223" s="5"/>
      <c r="AT223" s="5"/>
      <c r="AU223" s="5"/>
    </row>
    <row r="224" ht="15.7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c r="AH224" s="5"/>
      <c r="AI224" s="5"/>
      <c r="AJ224" s="5"/>
      <c r="AK224" s="5"/>
      <c r="AL224" s="5"/>
      <c r="AM224" s="5"/>
      <c r="AN224" s="5"/>
      <c r="AO224" s="5"/>
      <c r="AP224" s="5"/>
      <c r="AQ224" s="5"/>
      <c r="AR224" s="5"/>
      <c r="AS224" s="5"/>
      <c r="AT224" s="5"/>
      <c r="AU224" s="5"/>
    </row>
    <row r="225" ht="15.7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c r="AH225" s="5"/>
      <c r="AI225" s="5"/>
      <c r="AJ225" s="5"/>
      <c r="AK225" s="5"/>
      <c r="AL225" s="5"/>
      <c r="AM225" s="5"/>
      <c r="AN225" s="5"/>
      <c r="AO225" s="5"/>
      <c r="AP225" s="5"/>
      <c r="AQ225" s="5"/>
      <c r="AR225" s="5"/>
      <c r="AS225" s="5"/>
      <c r="AT225" s="5"/>
      <c r="AU225" s="5"/>
    </row>
    <row r="226" ht="15.7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c r="AH226" s="5"/>
      <c r="AI226" s="5"/>
      <c r="AJ226" s="5"/>
      <c r="AK226" s="5"/>
      <c r="AL226" s="5"/>
      <c r="AM226" s="5"/>
      <c r="AN226" s="5"/>
      <c r="AO226" s="5"/>
      <c r="AP226" s="5"/>
      <c r="AQ226" s="5"/>
      <c r="AR226" s="5"/>
      <c r="AS226" s="5"/>
      <c r="AT226" s="5"/>
      <c r="AU226" s="5"/>
    </row>
    <row r="227" ht="15.7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c r="AH227" s="5"/>
      <c r="AI227" s="5"/>
      <c r="AJ227" s="5"/>
      <c r="AK227" s="5"/>
      <c r="AL227" s="5"/>
      <c r="AM227" s="5"/>
      <c r="AN227" s="5"/>
      <c r="AO227" s="5"/>
      <c r="AP227" s="5"/>
      <c r="AQ227" s="5"/>
      <c r="AR227" s="5"/>
      <c r="AS227" s="5"/>
      <c r="AT227" s="5"/>
      <c r="AU227" s="5"/>
    </row>
    <row r="228" ht="15.7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c r="AH228" s="5"/>
      <c r="AI228" s="5"/>
      <c r="AJ228" s="5"/>
      <c r="AK228" s="5"/>
      <c r="AL228" s="5"/>
      <c r="AM228" s="5"/>
      <c r="AN228" s="5"/>
      <c r="AO228" s="5"/>
      <c r="AP228" s="5"/>
      <c r="AQ228" s="5"/>
      <c r="AR228" s="5"/>
      <c r="AS228" s="5"/>
      <c r="AT228" s="5"/>
      <c r="AU228" s="5"/>
    </row>
    <row r="229" ht="15.7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c r="AH229" s="5"/>
      <c r="AI229" s="5"/>
      <c r="AJ229" s="5"/>
      <c r="AK229" s="5"/>
      <c r="AL229" s="5"/>
      <c r="AM229" s="5"/>
      <c r="AN229" s="5"/>
      <c r="AO229" s="5"/>
      <c r="AP229" s="5"/>
      <c r="AQ229" s="5"/>
      <c r="AR229" s="5"/>
      <c r="AS229" s="5"/>
      <c r="AT229" s="5"/>
      <c r="AU229" s="5"/>
    </row>
    <row r="230" ht="15.7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c r="AH230" s="5"/>
      <c r="AI230" s="5"/>
      <c r="AJ230" s="5"/>
      <c r="AK230" s="5"/>
      <c r="AL230" s="5"/>
      <c r="AM230" s="5"/>
      <c r="AN230" s="5"/>
      <c r="AO230" s="5"/>
      <c r="AP230" s="5"/>
      <c r="AQ230" s="5"/>
      <c r="AR230" s="5"/>
      <c r="AS230" s="5"/>
      <c r="AT230" s="5"/>
      <c r="AU230" s="5"/>
    </row>
    <row r="231" ht="15.7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c r="AH231" s="5"/>
      <c r="AI231" s="5"/>
      <c r="AJ231" s="5"/>
      <c r="AK231" s="5"/>
      <c r="AL231" s="5"/>
      <c r="AM231" s="5"/>
      <c r="AN231" s="5"/>
      <c r="AO231" s="5"/>
      <c r="AP231" s="5"/>
      <c r="AQ231" s="5"/>
      <c r="AR231" s="5"/>
      <c r="AS231" s="5"/>
      <c r="AT231" s="5"/>
      <c r="AU231" s="5"/>
    </row>
    <row r="232" ht="15.7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c r="AH232" s="5"/>
      <c r="AI232" s="5"/>
      <c r="AJ232" s="5"/>
      <c r="AK232" s="5"/>
      <c r="AL232" s="5"/>
      <c r="AM232" s="5"/>
      <c r="AN232" s="5"/>
      <c r="AO232" s="5"/>
      <c r="AP232" s="5"/>
      <c r="AQ232" s="5"/>
      <c r="AR232" s="5"/>
      <c r="AS232" s="5"/>
      <c r="AT232" s="5"/>
      <c r="AU232" s="5"/>
    </row>
    <row r="233" ht="15.7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c r="AH233" s="5"/>
      <c r="AI233" s="5"/>
      <c r="AJ233" s="5"/>
      <c r="AK233" s="5"/>
      <c r="AL233" s="5"/>
      <c r="AM233" s="5"/>
      <c r="AN233" s="5"/>
      <c r="AO233" s="5"/>
      <c r="AP233" s="5"/>
      <c r="AQ233" s="5"/>
      <c r="AR233" s="5"/>
      <c r="AS233" s="5"/>
      <c r="AT233" s="5"/>
      <c r="AU233" s="5"/>
    </row>
    <row r="234" ht="15.7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c r="AH234" s="5"/>
      <c r="AI234" s="5"/>
      <c r="AJ234" s="5"/>
      <c r="AK234" s="5"/>
      <c r="AL234" s="5"/>
      <c r="AM234" s="5"/>
      <c r="AN234" s="5"/>
      <c r="AO234" s="5"/>
      <c r="AP234" s="5"/>
      <c r="AQ234" s="5"/>
      <c r="AR234" s="5"/>
      <c r="AS234" s="5"/>
      <c r="AT234" s="5"/>
      <c r="AU234" s="5"/>
    </row>
    <row r="235" ht="15.7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c r="AH235" s="5"/>
      <c r="AI235" s="5"/>
      <c r="AJ235" s="5"/>
      <c r="AK235" s="5"/>
      <c r="AL235" s="5"/>
      <c r="AM235" s="5"/>
      <c r="AN235" s="5"/>
      <c r="AO235" s="5"/>
      <c r="AP235" s="5"/>
      <c r="AQ235" s="5"/>
      <c r="AR235" s="5"/>
      <c r="AS235" s="5"/>
      <c r="AT235" s="5"/>
      <c r="AU235" s="5"/>
    </row>
    <row r="236" ht="15.7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c r="AH236" s="5"/>
      <c r="AI236" s="5"/>
      <c r="AJ236" s="5"/>
      <c r="AK236" s="5"/>
      <c r="AL236" s="5"/>
      <c r="AM236" s="5"/>
      <c r="AN236" s="5"/>
      <c r="AO236" s="5"/>
      <c r="AP236" s="5"/>
      <c r="AQ236" s="5"/>
      <c r="AR236" s="5"/>
      <c r="AS236" s="5"/>
      <c r="AT236" s="5"/>
      <c r="AU236" s="5"/>
    </row>
    <row r="237" ht="15.7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c r="AH237" s="5"/>
      <c r="AI237" s="5"/>
      <c r="AJ237" s="5"/>
      <c r="AK237" s="5"/>
      <c r="AL237" s="5"/>
      <c r="AM237" s="5"/>
      <c r="AN237" s="5"/>
      <c r="AO237" s="5"/>
      <c r="AP237" s="5"/>
      <c r="AQ237" s="5"/>
      <c r="AR237" s="5"/>
      <c r="AS237" s="5"/>
      <c r="AT237" s="5"/>
      <c r="AU237" s="5"/>
    </row>
    <row r="238" ht="15.7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c r="AH238" s="5"/>
      <c r="AI238" s="5"/>
      <c r="AJ238" s="5"/>
      <c r="AK238" s="5"/>
      <c r="AL238" s="5"/>
      <c r="AM238" s="5"/>
      <c r="AN238" s="5"/>
      <c r="AO238" s="5"/>
      <c r="AP238" s="5"/>
      <c r="AQ238" s="5"/>
      <c r="AR238" s="5"/>
      <c r="AS238" s="5"/>
      <c r="AT238" s="5"/>
      <c r="AU238" s="5"/>
    </row>
    <row r="239" ht="15.7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c r="AH239" s="5"/>
      <c r="AI239" s="5"/>
      <c r="AJ239" s="5"/>
      <c r="AK239" s="5"/>
      <c r="AL239" s="5"/>
      <c r="AM239" s="5"/>
      <c r="AN239" s="5"/>
      <c r="AO239" s="5"/>
      <c r="AP239" s="5"/>
      <c r="AQ239" s="5"/>
      <c r="AR239" s="5"/>
      <c r="AS239" s="5"/>
      <c r="AT239" s="5"/>
      <c r="AU239" s="5"/>
    </row>
    <row r="240" ht="15.7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c r="AH240" s="5"/>
      <c r="AI240" s="5"/>
      <c r="AJ240" s="5"/>
      <c r="AK240" s="5"/>
      <c r="AL240" s="5"/>
      <c r="AM240" s="5"/>
      <c r="AN240" s="5"/>
      <c r="AO240" s="5"/>
      <c r="AP240" s="5"/>
      <c r="AQ240" s="5"/>
      <c r="AR240" s="5"/>
      <c r="AS240" s="5"/>
      <c r="AT240" s="5"/>
      <c r="AU240" s="5"/>
    </row>
    <row r="241" ht="15.7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c r="AG241" s="5"/>
      <c r="AH241" s="5"/>
      <c r="AI241" s="5"/>
      <c r="AJ241" s="5"/>
      <c r="AK241" s="5"/>
      <c r="AL241" s="5"/>
      <c r="AM241" s="5"/>
      <c r="AN241" s="5"/>
      <c r="AO241" s="5"/>
      <c r="AP241" s="5"/>
      <c r="AQ241" s="5"/>
      <c r="AR241" s="5"/>
      <c r="AS241" s="5"/>
      <c r="AT241" s="5"/>
      <c r="AU241" s="5"/>
    </row>
    <row r="242" ht="15.7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c r="AG242" s="5"/>
      <c r="AH242" s="5"/>
      <c r="AI242" s="5"/>
      <c r="AJ242" s="5"/>
      <c r="AK242" s="5"/>
      <c r="AL242" s="5"/>
      <c r="AM242" s="5"/>
      <c r="AN242" s="5"/>
      <c r="AO242" s="5"/>
      <c r="AP242" s="5"/>
      <c r="AQ242" s="5"/>
      <c r="AR242" s="5"/>
      <c r="AS242" s="5"/>
      <c r="AT242" s="5"/>
      <c r="AU242" s="5"/>
    </row>
    <row r="243" ht="15.7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c r="AH243" s="5"/>
      <c r="AI243" s="5"/>
      <c r="AJ243" s="5"/>
      <c r="AK243" s="5"/>
      <c r="AL243" s="5"/>
      <c r="AM243" s="5"/>
      <c r="AN243" s="5"/>
      <c r="AO243" s="5"/>
      <c r="AP243" s="5"/>
      <c r="AQ243" s="5"/>
      <c r="AR243" s="5"/>
      <c r="AS243" s="5"/>
      <c r="AT243" s="5"/>
      <c r="AU243" s="5"/>
    </row>
    <row r="244" ht="15.7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c r="AH244" s="5"/>
      <c r="AI244" s="5"/>
      <c r="AJ244" s="5"/>
      <c r="AK244" s="5"/>
      <c r="AL244" s="5"/>
      <c r="AM244" s="5"/>
      <c r="AN244" s="5"/>
      <c r="AO244" s="5"/>
      <c r="AP244" s="5"/>
      <c r="AQ244" s="5"/>
      <c r="AR244" s="5"/>
      <c r="AS244" s="5"/>
      <c r="AT244" s="5"/>
      <c r="AU244" s="5"/>
    </row>
    <row r="245" ht="15.7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c r="AG245" s="5"/>
      <c r="AH245" s="5"/>
      <c r="AI245" s="5"/>
      <c r="AJ245" s="5"/>
      <c r="AK245" s="5"/>
      <c r="AL245" s="5"/>
      <c r="AM245" s="5"/>
      <c r="AN245" s="5"/>
      <c r="AO245" s="5"/>
      <c r="AP245" s="5"/>
      <c r="AQ245" s="5"/>
      <c r="AR245" s="5"/>
      <c r="AS245" s="5"/>
      <c r="AT245" s="5"/>
      <c r="AU245" s="5"/>
    </row>
    <row r="246" ht="15.7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c r="AH246" s="5"/>
      <c r="AI246" s="5"/>
      <c r="AJ246" s="5"/>
      <c r="AK246" s="5"/>
      <c r="AL246" s="5"/>
      <c r="AM246" s="5"/>
      <c r="AN246" s="5"/>
      <c r="AO246" s="5"/>
      <c r="AP246" s="5"/>
      <c r="AQ246" s="5"/>
      <c r="AR246" s="5"/>
      <c r="AS246" s="5"/>
      <c r="AT246" s="5"/>
      <c r="AU246" s="5"/>
    </row>
    <row r="247" ht="15.7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c r="AH247" s="5"/>
      <c r="AI247" s="5"/>
      <c r="AJ247" s="5"/>
      <c r="AK247" s="5"/>
      <c r="AL247" s="5"/>
      <c r="AM247" s="5"/>
      <c r="AN247" s="5"/>
      <c r="AO247" s="5"/>
      <c r="AP247" s="5"/>
      <c r="AQ247" s="5"/>
      <c r="AR247" s="5"/>
      <c r="AS247" s="5"/>
      <c r="AT247" s="5"/>
      <c r="AU247" s="5"/>
    </row>
    <row r="248" ht="15.7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c r="AH248" s="5"/>
      <c r="AI248" s="5"/>
      <c r="AJ248" s="5"/>
      <c r="AK248" s="5"/>
      <c r="AL248" s="5"/>
      <c r="AM248" s="5"/>
      <c r="AN248" s="5"/>
      <c r="AO248" s="5"/>
      <c r="AP248" s="5"/>
      <c r="AQ248" s="5"/>
      <c r="AR248" s="5"/>
      <c r="AS248" s="5"/>
      <c r="AT248" s="5"/>
      <c r="AU248" s="5"/>
    </row>
    <row r="249" ht="15.7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c r="AG249" s="5"/>
      <c r="AH249" s="5"/>
      <c r="AI249" s="5"/>
      <c r="AJ249" s="5"/>
      <c r="AK249" s="5"/>
      <c r="AL249" s="5"/>
      <c r="AM249" s="5"/>
      <c r="AN249" s="5"/>
      <c r="AO249" s="5"/>
      <c r="AP249" s="5"/>
      <c r="AQ249" s="5"/>
      <c r="AR249" s="5"/>
      <c r="AS249" s="5"/>
      <c r="AT249" s="5"/>
      <c r="AU249" s="5"/>
    </row>
    <row r="250" ht="15.7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c r="AH250" s="5"/>
      <c r="AI250" s="5"/>
      <c r="AJ250" s="5"/>
      <c r="AK250" s="5"/>
      <c r="AL250" s="5"/>
      <c r="AM250" s="5"/>
      <c r="AN250" s="5"/>
      <c r="AO250" s="5"/>
      <c r="AP250" s="5"/>
      <c r="AQ250" s="5"/>
      <c r="AR250" s="5"/>
      <c r="AS250" s="5"/>
      <c r="AT250" s="5"/>
      <c r="AU250" s="5"/>
    </row>
    <row r="251" ht="15.7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c r="AH251" s="5"/>
      <c r="AI251" s="5"/>
      <c r="AJ251" s="5"/>
      <c r="AK251" s="5"/>
      <c r="AL251" s="5"/>
      <c r="AM251" s="5"/>
      <c r="AN251" s="5"/>
      <c r="AO251" s="5"/>
      <c r="AP251" s="5"/>
      <c r="AQ251" s="5"/>
      <c r="AR251" s="5"/>
      <c r="AS251" s="5"/>
      <c r="AT251" s="5"/>
      <c r="AU251" s="5"/>
    </row>
    <row r="252" ht="15.7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5"/>
      <c r="AH252" s="5"/>
      <c r="AI252" s="5"/>
      <c r="AJ252" s="5"/>
      <c r="AK252" s="5"/>
      <c r="AL252" s="5"/>
      <c r="AM252" s="5"/>
      <c r="AN252" s="5"/>
      <c r="AO252" s="5"/>
      <c r="AP252" s="5"/>
      <c r="AQ252" s="5"/>
      <c r="AR252" s="5"/>
      <c r="AS252" s="5"/>
      <c r="AT252" s="5"/>
      <c r="AU252" s="5"/>
    </row>
    <row r="253" ht="15.7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c r="AH253" s="5"/>
      <c r="AI253" s="5"/>
      <c r="AJ253" s="5"/>
      <c r="AK253" s="5"/>
      <c r="AL253" s="5"/>
      <c r="AM253" s="5"/>
      <c r="AN253" s="5"/>
      <c r="AO253" s="5"/>
      <c r="AP253" s="5"/>
      <c r="AQ253" s="5"/>
      <c r="AR253" s="5"/>
      <c r="AS253" s="5"/>
      <c r="AT253" s="5"/>
      <c r="AU253" s="5"/>
    </row>
    <row r="254" ht="15.7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c r="AH254" s="5"/>
      <c r="AI254" s="5"/>
      <c r="AJ254" s="5"/>
      <c r="AK254" s="5"/>
      <c r="AL254" s="5"/>
      <c r="AM254" s="5"/>
      <c r="AN254" s="5"/>
      <c r="AO254" s="5"/>
      <c r="AP254" s="5"/>
      <c r="AQ254" s="5"/>
      <c r="AR254" s="5"/>
      <c r="AS254" s="5"/>
      <c r="AT254" s="5"/>
      <c r="AU254" s="5"/>
    </row>
    <row r="255" ht="15.7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c r="AH255" s="5"/>
      <c r="AI255" s="5"/>
      <c r="AJ255" s="5"/>
      <c r="AK255" s="5"/>
      <c r="AL255" s="5"/>
      <c r="AM255" s="5"/>
      <c r="AN255" s="5"/>
      <c r="AO255" s="5"/>
      <c r="AP255" s="5"/>
      <c r="AQ255" s="5"/>
      <c r="AR255" s="5"/>
      <c r="AS255" s="5"/>
      <c r="AT255" s="5"/>
      <c r="AU255" s="5"/>
    </row>
    <row r="256" ht="15.7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c r="AH256" s="5"/>
      <c r="AI256" s="5"/>
      <c r="AJ256" s="5"/>
      <c r="AK256" s="5"/>
      <c r="AL256" s="5"/>
      <c r="AM256" s="5"/>
      <c r="AN256" s="5"/>
      <c r="AO256" s="5"/>
      <c r="AP256" s="5"/>
      <c r="AQ256" s="5"/>
      <c r="AR256" s="5"/>
      <c r="AS256" s="5"/>
      <c r="AT256" s="5"/>
      <c r="AU256" s="5"/>
    </row>
    <row r="257" ht="15.7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c r="AH257" s="5"/>
      <c r="AI257" s="5"/>
      <c r="AJ257" s="5"/>
      <c r="AK257" s="5"/>
      <c r="AL257" s="5"/>
      <c r="AM257" s="5"/>
      <c r="AN257" s="5"/>
      <c r="AO257" s="5"/>
      <c r="AP257" s="5"/>
      <c r="AQ257" s="5"/>
      <c r="AR257" s="5"/>
      <c r="AS257" s="5"/>
      <c r="AT257" s="5"/>
      <c r="AU257" s="5"/>
    </row>
    <row r="258" ht="15.7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c r="AH258" s="5"/>
      <c r="AI258" s="5"/>
      <c r="AJ258" s="5"/>
      <c r="AK258" s="5"/>
      <c r="AL258" s="5"/>
      <c r="AM258" s="5"/>
      <c r="AN258" s="5"/>
      <c r="AO258" s="5"/>
      <c r="AP258" s="5"/>
      <c r="AQ258" s="5"/>
      <c r="AR258" s="5"/>
      <c r="AS258" s="5"/>
      <c r="AT258" s="5"/>
      <c r="AU258" s="5"/>
    </row>
    <row r="259" ht="15.7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5"/>
      <c r="AH259" s="5"/>
      <c r="AI259" s="5"/>
      <c r="AJ259" s="5"/>
      <c r="AK259" s="5"/>
      <c r="AL259" s="5"/>
      <c r="AM259" s="5"/>
      <c r="AN259" s="5"/>
      <c r="AO259" s="5"/>
      <c r="AP259" s="5"/>
      <c r="AQ259" s="5"/>
      <c r="AR259" s="5"/>
      <c r="AS259" s="5"/>
      <c r="AT259" s="5"/>
      <c r="AU259" s="5"/>
    </row>
    <row r="260" ht="15.7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c r="AG260" s="5"/>
      <c r="AH260" s="5"/>
      <c r="AI260" s="5"/>
      <c r="AJ260" s="5"/>
      <c r="AK260" s="5"/>
      <c r="AL260" s="5"/>
      <c r="AM260" s="5"/>
      <c r="AN260" s="5"/>
      <c r="AO260" s="5"/>
      <c r="AP260" s="5"/>
      <c r="AQ260" s="5"/>
      <c r="AR260" s="5"/>
      <c r="AS260" s="5"/>
      <c r="AT260" s="5"/>
      <c r="AU260" s="5"/>
    </row>
    <row r="261" ht="15.7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5"/>
      <c r="AH261" s="5"/>
      <c r="AI261" s="5"/>
      <c r="AJ261" s="5"/>
      <c r="AK261" s="5"/>
      <c r="AL261" s="5"/>
      <c r="AM261" s="5"/>
      <c r="AN261" s="5"/>
      <c r="AO261" s="5"/>
      <c r="AP261" s="5"/>
      <c r="AQ261" s="5"/>
      <c r="AR261" s="5"/>
      <c r="AS261" s="5"/>
      <c r="AT261" s="5"/>
      <c r="AU261" s="5"/>
    </row>
    <row r="262" ht="15.7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c r="AH262" s="5"/>
      <c r="AI262" s="5"/>
      <c r="AJ262" s="5"/>
      <c r="AK262" s="5"/>
      <c r="AL262" s="5"/>
      <c r="AM262" s="5"/>
      <c r="AN262" s="5"/>
      <c r="AO262" s="5"/>
      <c r="AP262" s="5"/>
      <c r="AQ262" s="5"/>
      <c r="AR262" s="5"/>
      <c r="AS262" s="5"/>
      <c r="AT262" s="5"/>
      <c r="AU262" s="5"/>
    </row>
    <row r="263" ht="15.7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c r="AG263" s="5"/>
      <c r="AH263" s="5"/>
      <c r="AI263" s="5"/>
      <c r="AJ263" s="5"/>
      <c r="AK263" s="5"/>
      <c r="AL263" s="5"/>
      <c r="AM263" s="5"/>
      <c r="AN263" s="5"/>
      <c r="AO263" s="5"/>
      <c r="AP263" s="5"/>
      <c r="AQ263" s="5"/>
      <c r="AR263" s="5"/>
      <c r="AS263" s="5"/>
      <c r="AT263" s="5"/>
      <c r="AU263" s="5"/>
    </row>
    <row r="264" ht="15.7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c r="AH264" s="5"/>
      <c r="AI264" s="5"/>
      <c r="AJ264" s="5"/>
      <c r="AK264" s="5"/>
      <c r="AL264" s="5"/>
      <c r="AM264" s="5"/>
      <c r="AN264" s="5"/>
      <c r="AO264" s="5"/>
      <c r="AP264" s="5"/>
      <c r="AQ264" s="5"/>
      <c r="AR264" s="5"/>
      <c r="AS264" s="5"/>
      <c r="AT264" s="5"/>
      <c r="AU264" s="5"/>
    </row>
    <row r="265" ht="15.7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c r="AH265" s="5"/>
      <c r="AI265" s="5"/>
      <c r="AJ265" s="5"/>
      <c r="AK265" s="5"/>
      <c r="AL265" s="5"/>
      <c r="AM265" s="5"/>
      <c r="AN265" s="5"/>
      <c r="AO265" s="5"/>
      <c r="AP265" s="5"/>
      <c r="AQ265" s="5"/>
      <c r="AR265" s="5"/>
      <c r="AS265" s="5"/>
      <c r="AT265" s="5"/>
      <c r="AU265" s="5"/>
    </row>
    <row r="266" ht="15.7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c r="AH266" s="5"/>
      <c r="AI266" s="5"/>
      <c r="AJ266" s="5"/>
      <c r="AK266" s="5"/>
      <c r="AL266" s="5"/>
      <c r="AM266" s="5"/>
      <c r="AN266" s="5"/>
      <c r="AO266" s="5"/>
      <c r="AP266" s="5"/>
      <c r="AQ266" s="5"/>
      <c r="AR266" s="5"/>
      <c r="AS266" s="5"/>
      <c r="AT266" s="5"/>
      <c r="AU266" s="5"/>
    </row>
    <row r="267" ht="15.7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c r="AH267" s="5"/>
      <c r="AI267" s="5"/>
      <c r="AJ267" s="5"/>
      <c r="AK267" s="5"/>
      <c r="AL267" s="5"/>
      <c r="AM267" s="5"/>
      <c r="AN267" s="5"/>
      <c r="AO267" s="5"/>
      <c r="AP267" s="5"/>
      <c r="AQ267" s="5"/>
      <c r="AR267" s="5"/>
      <c r="AS267" s="5"/>
      <c r="AT267" s="5"/>
      <c r="AU267" s="5"/>
    </row>
    <row r="268" ht="15.7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c r="AH268" s="5"/>
      <c r="AI268" s="5"/>
      <c r="AJ268" s="5"/>
      <c r="AK268" s="5"/>
      <c r="AL268" s="5"/>
      <c r="AM268" s="5"/>
      <c r="AN268" s="5"/>
      <c r="AO268" s="5"/>
      <c r="AP268" s="5"/>
      <c r="AQ268" s="5"/>
      <c r="AR268" s="5"/>
      <c r="AS268" s="5"/>
      <c r="AT268" s="5"/>
      <c r="AU268" s="5"/>
    </row>
    <row r="269" ht="15.7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c r="AH269" s="5"/>
      <c r="AI269" s="5"/>
      <c r="AJ269" s="5"/>
      <c r="AK269" s="5"/>
      <c r="AL269" s="5"/>
      <c r="AM269" s="5"/>
      <c r="AN269" s="5"/>
      <c r="AO269" s="5"/>
      <c r="AP269" s="5"/>
      <c r="AQ269" s="5"/>
      <c r="AR269" s="5"/>
      <c r="AS269" s="5"/>
      <c r="AT269" s="5"/>
      <c r="AU269" s="5"/>
    </row>
    <row r="270" ht="15.7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c r="AH270" s="5"/>
      <c r="AI270" s="5"/>
      <c r="AJ270" s="5"/>
      <c r="AK270" s="5"/>
      <c r="AL270" s="5"/>
      <c r="AM270" s="5"/>
      <c r="AN270" s="5"/>
      <c r="AO270" s="5"/>
      <c r="AP270" s="5"/>
      <c r="AQ270" s="5"/>
      <c r="AR270" s="5"/>
      <c r="AS270" s="5"/>
      <c r="AT270" s="5"/>
      <c r="AU270" s="5"/>
    </row>
    <row r="271" ht="15.7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c r="AG271" s="5"/>
      <c r="AH271" s="5"/>
      <c r="AI271" s="5"/>
      <c r="AJ271" s="5"/>
      <c r="AK271" s="5"/>
      <c r="AL271" s="5"/>
      <c r="AM271" s="5"/>
      <c r="AN271" s="5"/>
      <c r="AO271" s="5"/>
      <c r="AP271" s="5"/>
      <c r="AQ271" s="5"/>
      <c r="AR271" s="5"/>
      <c r="AS271" s="5"/>
      <c r="AT271" s="5"/>
      <c r="AU271" s="5"/>
    </row>
    <row r="272" ht="15.7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c r="AG272" s="5"/>
      <c r="AH272" s="5"/>
      <c r="AI272" s="5"/>
      <c r="AJ272" s="5"/>
      <c r="AK272" s="5"/>
      <c r="AL272" s="5"/>
      <c r="AM272" s="5"/>
      <c r="AN272" s="5"/>
      <c r="AO272" s="5"/>
      <c r="AP272" s="5"/>
      <c r="AQ272" s="5"/>
      <c r="AR272" s="5"/>
      <c r="AS272" s="5"/>
      <c r="AT272" s="5"/>
      <c r="AU272" s="5"/>
    </row>
    <row r="273" ht="15.7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c r="AH273" s="5"/>
      <c r="AI273" s="5"/>
      <c r="AJ273" s="5"/>
      <c r="AK273" s="5"/>
      <c r="AL273" s="5"/>
      <c r="AM273" s="5"/>
      <c r="AN273" s="5"/>
      <c r="AO273" s="5"/>
      <c r="AP273" s="5"/>
      <c r="AQ273" s="5"/>
      <c r="AR273" s="5"/>
      <c r="AS273" s="5"/>
      <c r="AT273" s="5"/>
      <c r="AU273" s="5"/>
    </row>
    <row r="274" ht="15.7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c r="AH274" s="5"/>
      <c r="AI274" s="5"/>
      <c r="AJ274" s="5"/>
      <c r="AK274" s="5"/>
      <c r="AL274" s="5"/>
      <c r="AM274" s="5"/>
      <c r="AN274" s="5"/>
      <c r="AO274" s="5"/>
      <c r="AP274" s="5"/>
      <c r="AQ274" s="5"/>
      <c r="AR274" s="5"/>
      <c r="AS274" s="5"/>
      <c r="AT274" s="5"/>
      <c r="AU274" s="5"/>
    </row>
    <row r="275" ht="15.7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c r="AH275" s="5"/>
      <c r="AI275" s="5"/>
      <c r="AJ275" s="5"/>
      <c r="AK275" s="5"/>
      <c r="AL275" s="5"/>
      <c r="AM275" s="5"/>
      <c r="AN275" s="5"/>
      <c r="AO275" s="5"/>
      <c r="AP275" s="5"/>
      <c r="AQ275" s="5"/>
      <c r="AR275" s="5"/>
      <c r="AS275" s="5"/>
      <c r="AT275" s="5"/>
      <c r="AU275" s="5"/>
    </row>
    <row r="276" ht="15.7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c r="AH276" s="5"/>
      <c r="AI276" s="5"/>
      <c r="AJ276" s="5"/>
      <c r="AK276" s="5"/>
      <c r="AL276" s="5"/>
      <c r="AM276" s="5"/>
      <c r="AN276" s="5"/>
      <c r="AO276" s="5"/>
      <c r="AP276" s="5"/>
      <c r="AQ276" s="5"/>
      <c r="AR276" s="5"/>
      <c r="AS276" s="5"/>
      <c r="AT276" s="5"/>
      <c r="AU276" s="5"/>
    </row>
    <row r="277" ht="15.7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5"/>
      <c r="AH277" s="5"/>
      <c r="AI277" s="5"/>
      <c r="AJ277" s="5"/>
      <c r="AK277" s="5"/>
      <c r="AL277" s="5"/>
      <c r="AM277" s="5"/>
      <c r="AN277" s="5"/>
      <c r="AO277" s="5"/>
      <c r="AP277" s="5"/>
      <c r="AQ277" s="5"/>
      <c r="AR277" s="5"/>
      <c r="AS277" s="5"/>
      <c r="AT277" s="5"/>
      <c r="AU277" s="5"/>
    </row>
    <row r="278" ht="15.7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c r="AH278" s="5"/>
      <c r="AI278" s="5"/>
      <c r="AJ278" s="5"/>
      <c r="AK278" s="5"/>
      <c r="AL278" s="5"/>
      <c r="AM278" s="5"/>
      <c r="AN278" s="5"/>
      <c r="AO278" s="5"/>
      <c r="AP278" s="5"/>
      <c r="AQ278" s="5"/>
      <c r="AR278" s="5"/>
      <c r="AS278" s="5"/>
      <c r="AT278" s="5"/>
      <c r="AU278" s="5"/>
    </row>
    <row r="279" ht="15.7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c r="AH279" s="5"/>
      <c r="AI279" s="5"/>
      <c r="AJ279" s="5"/>
      <c r="AK279" s="5"/>
      <c r="AL279" s="5"/>
      <c r="AM279" s="5"/>
      <c r="AN279" s="5"/>
      <c r="AO279" s="5"/>
      <c r="AP279" s="5"/>
      <c r="AQ279" s="5"/>
      <c r="AR279" s="5"/>
      <c r="AS279" s="5"/>
      <c r="AT279" s="5"/>
      <c r="AU279" s="5"/>
    </row>
    <row r="280" ht="15.7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c r="AH280" s="5"/>
      <c r="AI280" s="5"/>
      <c r="AJ280" s="5"/>
      <c r="AK280" s="5"/>
      <c r="AL280" s="5"/>
      <c r="AM280" s="5"/>
      <c r="AN280" s="5"/>
      <c r="AO280" s="5"/>
      <c r="AP280" s="5"/>
      <c r="AQ280" s="5"/>
      <c r="AR280" s="5"/>
      <c r="AS280" s="5"/>
      <c r="AT280" s="5"/>
      <c r="AU280" s="5"/>
    </row>
    <row r="281" ht="15.7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c r="AH281" s="5"/>
      <c r="AI281" s="5"/>
      <c r="AJ281" s="5"/>
      <c r="AK281" s="5"/>
      <c r="AL281" s="5"/>
      <c r="AM281" s="5"/>
      <c r="AN281" s="5"/>
      <c r="AO281" s="5"/>
      <c r="AP281" s="5"/>
      <c r="AQ281" s="5"/>
      <c r="AR281" s="5"/>
      <c r="AS281" s="5"/>
      <c r="AT281" s="5"/>
      <c r="AU281" s="5"/>
    </row>
    <row r="282" ht="15.7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c r="AH282" s="5"/>
      <c r="AI282" s="5"/>
      <c r="AJ282" s="5"/>
      <c r="AK282" s="5"/>
      <c r="AL282" s="5"/>
      <c r="AM282" s="5"/>
      <c r="AN282" s="5"/>
      <c r="AO282" s="5"/>
      <c r="AP282" s="5"/>
      <c r="AQ282" s="5"/>
      <c r="AR282" s="5"/>
      <c r="AS282" s="5"/>
      <c r="AT282" s="5"/>
      <c r="AU282" s="5"/>
    </row>
    <row r="283" ht="15.7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c r="AH283" s="5"/>
      <c r="AI283" s="5"/>
      <c r="AJ283" s="5"/>
      <c r="AK283" s="5"/>
      <c r="AL283" s="5"/>
      <c r="AM283" s="5"/>
      <c r="AN283" s="5"/>
      <c r="AO283" s="5"/>
      <c r="AP283" s="5"/>
      <c r="AQ283" s="5"/>
      <c r="AR283" s="5"/>
      <c r="AS283" s="5"/>
      <c r="AT283" s="5"/>
      <c r="AU283" s="5"/>
    </row>
    <row r="284" ht="15.7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5"/>
      <c r="AH284" s="5"/>
      <c r="AI284" s="5"/>
      <c r="AJ284" s="5"/>
      <c r="AK284" s="5"/>
      <c r="AL284" s="5"/>
      <c r="AM284" s="5"/>
      <c r="AN284" s="5"/>
      <c r="AO284" s="5"/>
      <c r="AP284" s="5"/>
      <c r="AQ284" s="5"/>
      <c r="AR284" s="5"/>
      <c r="AS284" s="5"/>
      <c r="AT284" s="5"/>
      <c r="AU284" s="5"/>
    </row>
    <row r="285" ht="15.7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c r="AH285" s="5"/>
      <c r="AI285" s="5"/>
      <c r="AJ285" s="5"/>
      <c r="AK285" s="5"/>
      <c r="AL285" s="5"/>
      <c r="AM285" s="5"/>
      <c r="AN285" s="5"/>
      <c r="AO285" s="5"/>
      <c r="AP285" s="5"/>
      <c r="AQ285" s="5"/>
      <c r="AR285" s="5"/>
      <c r="AS285" s="5"/>
      <c r="AT285" s="5"/>
      <c r="AU285" s="5"/>
    </row>
    <row r="286" ht="15.7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c r="AG286" s="5"/>
      <c r="AH286" s="5"/>
      <c r="AI286" s="5"/>
      <c r="AJ286" s="5"/>
      <c r="AK286" s="5"/>
      <c r="AL286" s="5"/>
      <c r="AM286" s="5"/>
      <c r="AN286" s="5"/>
      <c r="AO286" s="5"/>
      <c r="AP286" s="5"/>
      <c r="AQ286" s="5"/>
      <c r="AR286" s="5"/>
      <c r="AS286" s="5"/>
      <c r="AT286" s="5"/>
      <c r="AU286" s="5"/>
    </row>
    <row r="287" ht="15.7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c r="AH287" s="5"/>
      <c r="AI287" s="5"/>
      <c r="AJ287" s="5"/>
      <c r="AK287" s="5"/>
      <c r="AL287" s="5"/>
      <c r="AM287" s="5"/>
      <c r="AN287" s="5"/>
      <c r="AO287" s="5"/>
      <c r="AP287" s="5"/>
      <c r="AQ287" s="5"/>
      <c r="AR287" s="5"/>
      <c r="AS287" s="5"/>
      <c r="AT287" s="5"/>
      <c r="AU287" s="5"/>
    </row>
    <row r="288" ht="15.7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c r="AH288" s="5"/>
      <c r="AI288" s="5"/>
      <c r="AJ288" s="5"/>
      <c r="AK288" s="5"/>
      <c r="AL288" s="5"/>
      <c r="AM288" s="5"/>
      <c r="AN288" s="5"/>
      <c r="AO288" s="5"/>
      <c r="AP288" s="5"/>
      <c r="AQ288" s="5"/>
      <c r="AR288" s="5"/>
      <c r="AS288" s="5"/>
      <c r="AT288" s="5"/>
      <c r="AU288" s="5"/>
    </row>
    <row r="289" ht="15.7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c r="AG289" s="5"/>
      <c r="AH289" s="5"/>
      <c r="AI289" s="5"/>
      <c r="AJ289" s="5"/>
      <c r="AK289" s="5"/>
      <c r="AL289" s="5"/>
      <c r="AM289" s="5"/>
      <c r="AN289" s="5"/>
      <c r="AO289" s="5"/>
      <c r="AP289" s="5"/>
      <c r="AQ289" s="5"/>
      <c r="AR289" s="5"/>
      <c r="AS289" s="5"/>
      <c r="AT289" s="5"/>
      <c r="AU289" s="5"/>
    </row>
    <row r="290" ht="15.7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c r="AG290" s="5"/>
      <c r="AH290" s="5"/>
      <c r="AI290" s="5"/>
      <c r="AJ290" s="5"/>
      <c r="AK290" s="5"/>
      <c r="AL290" s="5"/>
      <c r="AM290" s="5"/>
      <c r="AN290" s="5"/>
      <c r="AO290" s="5"/>
      <c r="AP290" s="5"/>
      <c r="AQ290" s="5"/>
      <c r="AR290" s="5"/>
      <c r="AS290" s="5"/>
      <c r="AT290" s="5"/>
      <c r="AU290" s="5"/>
    </row>
    <row r="291" ht="15.7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c r="AG291" s="5"/>
      <c r="AH291" s="5"/>
      <c r="AI291" s="5"/>
      <c r="AJ291" s="5"/>
      <c r="AK291" s="5"/>
      <c r="AL291" s="5"/>
      <c r="AM291" s="5"/>
      <c r="AN291" s="5"/>
      <c r="AO291" s="5"/>
      <c r="AP291" s="5"/>
      <c r="AQ291" s="5"/>
      <c r="AR291" s="5"/>
      <c r="AS291" s="5"/>
      <c r="AT291" s="5"/>
      <c r="AU291" s="5"/>
    </row>
    <row r="292" ht="15.7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c r="AG292" s="5"/>
      <c r="AH292" s="5"/>
      <c r="AI292" s="5"/>
      <c r="AJ292" s="5"/>
      <c r="AK292" s="5"/>
      <c r="AL292" s="5"/>
      <c r="AM292" s="5"/>
      <c r="AN292" s="5"/>
      <c r="AO292" s="5"/>
      <c r="AP292" s="5"/>
      <c r="AQ292" s="5"/>
      <c r="AR292" s="5"/>
      <c r="AS292" s="5"/>
      <c r="AT292" s="5"/>
      <c r="AU292" s="5"/>
    </row>
    <row r="293" ht="15.7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c r="AG293" s="5"/>
      <c r="AH293" s="5"/>
      <c r="AI293" s="5"/>
      <c r="AJ293" s="5"/>
      <c r="AK293" s="5"/>
      <c r="AL293" s="5"/>
      <c r="AM293" s="5"/>
      <c r="AN293" s="5"/>
      <c r="AO293" s="5"/>
      <c r="AP293" s="5"/>
      <c r="AQ293" s="5"/>
      <c r="AR293" s="5"/>
      <c r="AS293" s="5"/>
      <c r="AT293" s="5"/>
      <c r="AU293" s="5"/>
    </row>
    <row r="294" ht="15.7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c r="AG294" s="5"/>
      <c r="AH294" s="5"/>
      <c r="AI294" s="5"/>
      <c r="AJ294" s="5"/>
      <c r="AK294" s="5"/>
      <c r="AL294" s="5"/>
      <c r="AM294" s="5"/>
      <c r="AN294" s="5"/>
      <c r="AO294" s="5"/>
      <c r="AP294" s="5"/>
      <c r="AQ294" s="5"/>
      <c r="AR294" s="5"/>
      <c r="AS294" s="5"/>
      <c r="AT294" s="5"/>
      <c r="AU294" s="5"/>
    </row>
    <row r="295" ht="15.7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c r="AG295" s="5"/>
      <c r="AH295" s="5"/>
      <c r="AI295" s="5"/>
      <c r="AJ295" s="5"/>
      <c r="AK295" s="5"/>
      <c r="AL295" s="5"/>
      <c r="AM295" s="5"/>
      <c r="AN295" s="5"/>
      <c r="AO295" s="5"/>
      <c r="AP295" s="5"/>
      <c r="AQ295" s="5"/>
      <c r="AR295" s="5"/>
      <c r="AS295" s="5"/>
      <c r="AT295" s="5"/>
      <c r="AU295" s="5"/>
    </row>
    <row r="296" ht="15.7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c r="AG296" s="5"/>
      <c r="AH296" s="5"/>
      <c r="AI296" s="5"/>
      <c r="AJ296" s="5"/>
      <c r="AK296" s="5"/>
      <c r="AL296" s="5"/>
      <c r="AM296" s="5"/>
      <c r="AN296" s="5"/>
      <c r="AO296" s="5"/>
      <c r="AP296" s="5"/>
      <c r="AQ296" s="5"/>
      <c r="AR296" s="5"/>
      <c r="AS296" s="5"/>
      <c r="AT296" s="5"/>
      <c r="AU296" s="5"/>
    </row>
    <row r="297" ht="15.7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c r="AH297" s="5"/>
      <c r="AI297" s="5"/>
      <c r="AJ297" s="5"/>
      <c r="AK297" s="5"/>
      <c r="AL297" s="5"/>
      <c r="AM297" s="5"/>
      <c r="AN297" s="5"/>
      <c r="AO297" s="5"/>
      <c r="AP297" s="5"/>
      <c r="AQ297" s="5"/>
      <c r="AR297" s="5"/>
      <c r="AS297" s="5"/>
      <c r="AT297" s="5"/>
      <c r="AU297" s="5"/>
    </row>
    <row r="298" ht="15.7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c r="AH298" s="5"/>
      <c r="AI298" s="5"/>
      <c r="AJ298" s="5"/>
      <c r="AK298" s="5"/>
      <c r="AL298" s="5"/>
      <c r="AM298" s="5"/>
      <c r="AN298" s="5"/>
      <c r="AO298" s="5"/>
      <c r="AP298" s="5"/>
      <c r="AQ298" s="5"/>
      <c r="AR298" s="5"/>
      <c r="AS298" s="5"/>
      <c r="AT298" s="5"/>
      <c r="AU298" s="5"/>
    </row>
    <row r="299" ht="15.7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c r="AH299" s="5"/>
      <c r="AI299" s="5"/>
      <c r="AJ299" s="5"/>
      <c r="AK299" s="5"/>
      <c r="AL299" s="5"/>
      <c r="AM299" s="5"/>
      <c r="AN299" s="5"/>
      <c r="AO299" s="5"/>
      <c r="AP299" s="5"/>
      <c r="AQ299" s="5"/>
      <c r="AR299" s="5"/>
      <c r="AS299" s="5"/>
      <c r="AT299" s="5"/>
      <c r="AU299" s="5"/>
    </row>
    <row r="300" ht="15.7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c r="AG300" s="5"/>
      <c r="AH300" s="5"/>
      <c r="AI300" s="5"/>
      <c r="AJ300" s="5"/>
      <c r="AK300" s="5"/>
      <c r="AL300" s="5"/>
      <c r="AM300" s="5"/>
      <c r="AN300" s="5"/>
      <c r="AO300" s="5"/>
      <c r="AP300" s="5"/>
      <c r="AQ300" s="5"/>
      <c r="AR300" s="5"/>
      <c r="AS300" s="5"/>
      <c r="AT300" s="5"/>
      <c r="AU300" s="5"/>
    </row>
    <row r="301" ht="15.7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c r="AG301" s="5"/>
      <c r="AH301" s="5"/>
      <c r="AI301" s="5"/>
      <c r="AJ301" s="5"/>
      <c r="AK301" s="5"/>
      <c r="AL301" s="5"/>
      <c r="AM301" s="5"/>
      <c r="AN301" s="5"/>
      <c r="AO301" s="5"/>
      <c r="AP301" s="5"/>
      <c r="AQ301" s="5"/>
      <c r="AR301" s="5"/>
      <c r="AS301" s="5"/>
      <c r="AT301" s="5"/>
      <c r="AU301" s="5"/>
    </row>
    <row r="302" ht="15.7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c r="AG302" s="5"/>
      <c r="AH302" s="5"/>
      <c r="AI302" s="5"/>
      <c r="AJ302" s="5"/>
      <c r="AK302" s="5"/>
      <c r="AL302" s="5"/>
      <c r="AM302" s="5"/>
      <c r="AN302" s="5"/>
      <c r="AO302" s="5"/>
      <c r="AP302" s="5"/>
      <c r="AQ302" s="5"/>
      <c r="AR302" s="5"/>
      <c r="AS302" s="5"/>
      <c r="AT302" s="5"/>
      <c r="AU302" s="5"/>
    </row>
    <row r="303" ht="15.7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c r="AG303" s="5"/>
      <c r="AH303" s="5"/>
      <c r="AI303" s="5"/>
      <c r="AJ303" s="5"/>
      <c r="AK303" s="5"/>
      <c r="AL303" s="5"/>
      <c r="AM303" s="5"/>
      <c r="AN303" s="5"/>
      <c r="AO303" s="5"/>
      <c r="AP303" s="5"/>
      <c r="AQ303" s="5"/>
      <c r="AR303" s="5"/>
      <c r="AS303" s="5"/>
      <c r="AT303" s="5"/>
      <c r="AU303" s="5"/>
    </row>
    <row r="304" ht="15.7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c r="AG304" s="5"/>
      <c r="AH304" s="5"/>
      <c r="AI304" s="5"/>
      <c r="AJ304" s="5"/>
      <c r="AK304" s="5"/>
      <c r="AL304" s="5"/>
      <c r="AM304" s="5"/>
      <c r="AN304" s="5"/>
      <c r="AO304" s="5"/>
      <c r="AP304" s="5"/>
      <c r="AQ304" s="5"/>
      <c r="AR304" s="5"/>
      <c r="AS304" s="5"/>
      <c r="AT304" s="5"/>
      <c r="AU304" s="5"/>
    </row>
    <row r="305" ht="15.7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c r="AG305" s="5"/>
      <c r="AH305" s="5"/>
      <c r="AI305" s="5"/>
      <c r="AJ305" s="5"/>
      <c r="AK305" s="5"/>
      <c r="AL305" s="5"/>
      <c r="AM305" s="5"/>
      <c r="AN305" s="5"/>
      <c r="AO305" s="5"/>
      <c r="AP305" s="5"/>
      <c r="AQ305" s="5"/>
      <c r="AR305" s="5"/>
      <c r="AS305" s="5"/>
      <c r="AT305" s="5"/>
      <c r="AU305" s="5"/>
    </row>
    <row r="306" ht="15.7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c r="AG306" s="5"/>
      <c r="AH306" s="5"/>
      <c r="AI306" s="5"/>
      <c r="AJ306" s="5"/>
      <c r="AK306" s="5"/>
      <c r="AL306" s="5"/>
      <c r="AM306" s="5"/>
      <c r="AN306" s="5"/>
      <c r="AO306" s="5"/>
      <c r="AP306" s="5"/>
      <c r="AQ306" s="5"/>
      <c r="AR306" s="5"/>
      <c r="AS306" s="5"/>
      <c r="AT306" s="5"/>
      <c r="AU306" s="5"/>
    </row>
    <row r="307" ht="15.7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c r="AG307" s="5"/>
      <c r="AH307" s="5"/>
      <c r="AI307" s="5"/>
      <c r="AJ307" s="5"/>
      <c r="AK307" s="5"/>
      <c r="AL307" s="5"/>
      <c r="AM307" s="5"/>
      <c r="AN307" s="5"/>
      <c r="AO307" s="5"/>
      <c r="AP307" s="5"/>
      <c r="AQ307" s="5"/>
      <c r="AR307" s="5"/>
      <c r="AS307" s="5"/>
      <c r="AT307" s="5"/>
      <c r="AU307" s="5"/>
    </row>
    <row r="308" ht="15.7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c r="AH308" s="5"/>
      <c r="AI308" s="5"/>
      <c r="AJ308" s="5"/>
      <c r="AK308" s="5"/>
      <c r="AL308" s="5"/>
      <c r="AM308" s="5"/>
      <c r="AN308" s="5"/>
      <c r="AO308" s="5"/>
      <c r="AP308" s="5"/>
      <c r="AQ308" s="5"/>
      <c r="AR308" s="5"/>
      <c r="AS308" s="5"/>
      <c r="AT308" s="5"/>
      <c r="AU308" s="5"/>
    </row>
    <row r="309" ht="15.7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c r="AH309" s="5"/>
      <c r="AI309" s="5"/>
      <c r="AJ309" s="5"/>
      <c r="AK309" s="5"/>
      <c r="AL309" s="5"/>
      <c r="AM309" s="5"/>
      <c r="AN309" s="5"/>
      <c r="AO309" s="5"/>
      <c r="AP309" s="5"/>
      <c r="AQ309" s="5"/>
      <c r="AR309" s="5"/>
      <c r="AS309" s="5"/>
      <c r="AT309" s="5"/>
      <c r="AU309" s="5"/>
    </row>
    <row r="310" ht="15.7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c r="AG310" s="5"/>
      <c r="AH310" s="5"/>
      <c r="AI310" s="5"/>
      <c r="AJ310" s="5"/>
      <c r="AK310" s="5"/>
      <c r="AL310" s="5"/>
      <c r="AM310" s="5"/>
      <c r="AN310" s="5"/>
      <c r="AO310" s="5"/>
      <c r="AP310" s="5"/>
      <c r="AQ310" s="5"/>
      <c r="AR310" s="5"/>
      <c r="AS310" s="5"/>
      <c r="AT310" s="5"/>
      <c r="AU310" s="5"/>
    </row>
    <row r="311" ht="15.7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c r="AG311" s="5"/>
      <c r="AH311" s="5"/>
      <c r="AI311" s="5"/>
      <c r="AJ311" s="5"/>
      <c r="AK311" s="5"/>
      <c r="AL311" s="5"/>
      <c r="AM311" s="5"/>
      <c r="AN311" s="5"/>
      <c r="AO311" s="5"/>
      <c r="AP311" s="5"/>
      <c r="AQ311" s="5"/>
      <c r="AR311" s="5"/>
      <c r="AS311" s="5"/>
      <c r="AT311" s="5"/>
      <c r="AU311" s="5"/>
    </row>
    <row r="312" ht="15.7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c r="AG312" s="5"/>
      <c r="AH312" s="5"/>
      <c r="AI312" s="5"/>
      <c r="AJ312" s="5"/>
      <c r="AK312" s="5"/>
      <c r="AL312" s="5"/>
      <c r="AM312" s="5"/>
      <c r="AN312" s="5"/>
      <c r="AO312" s="5"/>
      <c r="AP312" s="5"/>
      <c r="AQ312" s="5"/>
      <c r="AR312" s="5"/>
      <c r="AS312" s="5"/>
      <c r="AT312" s="5"/>
      <c r="AU312" s="5"/>
    </row>
    <row r="313" ht="15.7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c r="AG313" s="5"/>
      <c r="AH313" s="5"/>
      <c r="AI313" s="5"/>
      <c r="AJ313" s="5"/>
      <c r="AK313" s="5"/>
      <c r="AL313" s="5"/>
      <c r="AM313" s="5"/>
      <c r="AN313" s="5"/>
      <c r="AO313" s="5"/>
      <c r="AP313" s="5"/>
      <c r="AQ313" s="5"/>
      <c r="AR313" s="5"/>
      <c r="AS313" s="5"/>
      <c r="AT313" s="5"/>
      <c r="AU313" s="5"/>
    </row>
    <row r="314" ht="15.7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c r="AG314" s="5"/>
      <c r="AH314" s="5"/>
      <c r="AI314" s="5"/>
      <c r="AJ314" s="5"/>
      <c r="AK314" s="5"/>
      <c r="AL314" s="5"/>
      <c r="AM314" s="5"/>
      <c r="AN314" s="5"/>
      <c r="AO314" s="5"/>
      <c r="AP314" s="5"/>
      <c r="AQ314" s="5"/>
      <c r="AR314" s="5"/>
      <c r="AS314" s="5"/>
      <c r="AT314" s="5"/>
      <c r="AU314" s="5"/>
    </row>
    <row r="315" ht="15.7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c r="AH315" s="5"/>
      <c r="AI315" s="5"/>
      <c r="AJ315" s="5"/>
      <c r="AK315" s="5"/>
      <c r="AL315" s="5"/>
      <c r="AM315" s="5"/>
      <c r="AN315" s="5"/>
      <c r="AO315" s="5"/>
      <c r="AP315" s="5"/>
      <c r="AQ315" s="5"/>
      <c r="AR315" s="5"/>
      <c r="AS315" s="5"/>
      <c r="AT315" s="5"/>
      <c r="AU315" s="5"/>
    </row>
    <row r="316" ht="15.7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c r="AH316" s="5"/>
      <c r="AI316" s="5"/>
      <c r="AJ316" s="5"/>
      <c r="AK316" s="5"/>
      <c r="AL316" s="5"/>
      <c r="AM316" s="5"/>
      <c r="AN316" s="5"/>
      <c r="AO316" s="5"/>
      <c r="AP316" s="5"/>
      <c r="AQ316" s="5"/>
      <c r="AR316" s="5"/>
      <c r="AS316" s="5"/>
      <c r="AT316" s="5"/>
      <c r="AU316" s="5"/>
    </row>
    <row r="317" ht="15.7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c r="AG317" s="5"/>
      <c r="AH317" s="5"/>
      <c r="AI317" s="5"/>
      <c r="AJ317" s="5"/>
      <c r="AK317" s="5"/>
      <c r="AL317" s="5"/>
      <c r="AM317" s="5"/>
      <c r="AN317" s="5"/>
      <c r="AO317" s="5"/>
      <c r="AP317" s="5"/>
      <c r="AQ317" s="5"/>
      <c r="AR317" s="5"/>
      <c r="AS317" s="5"/>
      <c r="AT317" s="5"/>
      <c r="AU317" s="5"/>
    </row>
    <row r="318" ht="15.7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c r="AH318" s="5"/>
      <c r="AI318" s="5"/>
      <c r="AJ318" s="5"/>
      <c r="AK318" s="5"/>
      <c r="AL318" s="5"/>
      <c r="AM318" s="5"/>
      <c r="AN318" s="5"/>
      <c r="AO318" s="5"/>
      <c r="AP318" s="5"/>
      <c r="AQ318" s="5"/>
      <c r="AR318" s="5"/>
      <c r="AS318" s="5"/>
      <c r="AT318" s="5"/>
      <c r="AU318" s="5"/>
    </row>
    <row r="319" ht="15.7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c r="AH319" s="5"/>
      <c r="AI319" s="5"/>
      <c r="AJ319" s="5"/>
      <c r="AK319" s="5"/>
      <c r="AL319" s="5"/>
      <c r="AM319" s="5"/>
      <c r="AN319" s="5"/>
      <c r="AO319" s="5"/>
      <c r="AP319" s="5"/>
      <c r="AQ319" s="5"/>
      <c r="AR319" s="5"/>
      <c r="AS319" s="5"/>
      <c r="AT319" s="5"/>
      <c r="AU319" s="5"/>
    </row>
    <row r="320" ht="15.7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c r="AG320" s="5"/>
      <c r="AH320" s="5"/>
      <c r="AI320" s="5"/>
      <c r="AJ320" s="5"/>
      <c r="AK320" s="5"/>
      <c r="AL320" s="5"/>
      <c r="AM320" s="5"/>
      <c r="AN320" s="5"/>
      <c r="AO320" s="5"/>
      <c r="AP320" s="5"/>
      <c r="AQ320" s="5"/>
      <c r="AR320" s="5"/>
      <c r="AS320" s="5"/>
      <c r="AT320" s="5"/>
      <c r="AU320" s="5"/>
    </row>
    <row r="321" ht="15.7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c r="AH321" s="5"/>
      <c r="AI321" s="5"/>
      <c r="AJ321" s="5"/>
      <c r="AK321" s="5"/>
      <c r="AL321" s="5"/>
      <c r="AM321" s="5"/>
      <c r="AN321" s="5"/>
      <c r="AO321" s="5"/>
      <c r="AP321" s="5"/>
      <c r="AQ321" s="5"/>
      <c r="AR321" s="5"/>
      <c r="AS321" s="5"/>
      <c r="AT321" s="5"/>
      <c r="AU321" s="5"/>
    </row>
    <row r="322" ht="15.7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c r="AH322" s="5"/>
      <c r="AI322" s="5"/>
      <c r="AJ322" s="5"/>
      <c r="AK322" s="5"/>
      <c r="AL322" s="5"/>
      <c r="AM322" s="5"/>
      <c r="AN322" s="5"/>
      <c r="AO322" s="5"/>
      <c r="AP322" s="5"/>
      <c r="AQ322" s="5"/>
      <c r="AR322" s="5"/>
      <c r="AS322" s="5"/>
      <c r="AT322" s="5"/>
      <c r="AU322" s="5"/>
    </row>
    <row r="323" ht="15.7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c r="AH323" s="5"/>
      <c r="AI323" s="5"/>
      <c r="AJ323" s="5"/>
      <c r="AK323" s="5"/>
      <c r="AL323" s="5"/>
      <c r="AM323" s="5"/>
      <c r="AN323" s="5"/>
      <c r="AO323" s="5"/>
      <c r="AP323" s="5"/>
      <c r="AQ323" s="5"/>
      <c r="AR323" s="5"/>
      <c r="AS323" s="5"/>
      <c r="AT323" s="5"/>
      <c r="AU323" s="5"/>
    </row>
    <row r="324" ht="15.7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c r="AH324" s="5"/>
      <c r="AI324" s="5"/>
      <c r="AJ324" s="5"/>
      <c r="AK324" s="5"/>
      <c r="AL324" s="5"/>
      <c r="AM324" s="5"/>
      <c r="AN324" s="5"/>
      <c r="AO324" s="5"/>
      <c r="AP324" s="5"/>
      <c r="AQ324" s="5"/>
      <c r="AR324" s="5"/>
      <c r="AS324" s="5"/>
      <c r="AT324" s="5"/>
      <c r="AU324" s="5"/>
    </row>
    <row r="325" ht="15.7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c r="AH325" s="5"/>
      <c r="AI325" s="5"/>
      <c r="AJ325" s="5"/>
      <c r="AK325" s="5"/>
      <c r="AL325" s="5"/>
      <c r="AM325" s="5"/>
      <c r="AN325" s="5"/>
      <c r="AO325" s="5"/>
      <c r="AP325" s="5"/>
      <c r="AQ325" s="5"/>
      <c r="AR325" s="5"/>
      <c r="AS325" s="5"/>
      <c r="AT325" s="5"/>
      <c r="AU325" s="5"/>
    </row>
    <row r="326" ht="15.7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c r="AG326" s="5"/>
      <c r="AH326" s="5"/>
      <c r="AI326" s="5"/>
      <c r="AJ326" s="5"/>
      <c r="AK326" s="5"/>
      <c r="AL326" s="5"/>
      <c r="AM326" s="5"/>
      <c r="AN326" s="5"/>
      <c r="AO326" s="5"/>
      <c r="AP326" s="5"/>
      <c r="AQ326" s="5"/>
      <c r="AR326" s="5"/>
      <c r="AS326" s="5"/>
      <c r="AT326" s="5"/>
      <c r="AU326" s="5"/>
    </row>
    <row r="327" ht="15.7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c r="AG327" s="5"/>
      <c r="AH327" s="5"/>
      <c r="AI327" s="5"/>
      <c r="AJ327" s="5"/>
      <c r="AK327" s="5"/>
      <c r="AL327" s="5"/>
      <c r="AM327" s="5"/>
      <c r="AN327" s="5"/>
      <c r="AO327" s="5"/>
      <c r="AP327" s="5"/>
      <c r="AQ327" s="5"/>
      <c r="AR327" s="5"/>
      <c r="AS327" s="5"/>
      <c r="AT327" s="5"/>
      <c r="AU327" s="5"/>
    </row>
    <row r="328" ht="15.7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c r="AG328" s="5"/>
      <c r="AH328" s="5"/>
      <c r="AI328" s="5"/>
      <c r="AJ328" s="5"/>
      <c r="AK328" s="5"/>
      <c r="AL328" s="5"/>
      <c r="AM328" s="5"/>
      <c r="AN328" s="5"/>
      <c r="AO328" s="5"/>
      <c r="AP328" s="5"/>
      <c r="AQ328" s="5"/>
      <c r="AR328" s="5"/>
      <c r="AS328" s="5"/>
      <c r="AT328" s="5"/>
      <c r="AU328" s="5"/>
    </row>
    <row r="329" ht="15.7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c r="AG329" s="5"/>
      <c r="AH329" s="5"/>
      <c r="AI329" s="5"/>
      <c r="AJ329" s="5"/>
      <c r="AK329" s="5"/>
      <c r="AL329" s="5"/>
      <c r="AM329" s="5"/>
      <c r="AN329" s="5"/>
      <c r="AO329" s="5"/>
      <c r="AP329" s="5"/>
      <c r="AQ329" s="5"/>
      <c r="AR329" s="5"/>
      <c r="AS329" s="5"/>
      <c r="AT329" s="5"/>
      <c r="AU329" s="5"/>
    </row>
    <row r="330" ht="15.7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c r="AG330" s="5"/>
      <c r="AH330" s="5"/>
      <c r="AI330" s="5"/>
      <c r="AJ330" s="5"/>
      <c r="AK330" s="5"/>
      <c r="AL330" s="5"/>
      <c r="AM330" s="5"/>
      <c r="AN330" s="5"/>
      <c r="AO330" s="5"/>
      <c r="AP330" s="5"/>
      <c r="AQ330" s="5"/>
      <c r="AR330" s="5"/>
      <c r="AS330" s="5"/>
      <c r="AT330" s="5"/>
      <c r="AU330" s="5"/>
    </row>
    <row r="331" ht="15.7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c r="AG331" s="5"/>
      <c r="AH331" s="5"/>
      <c r="AI331" s="5"/>
      <c r="AJ331" s="5"/>
      <c r="AK331" s="5"/>
      <c r="AL331" s="5"/>
      <c r="AM331" s="5"/>
      <c r="AN331" s="5"/>
      <c r="AO331" s="5"/>
      <c r="AP331" s="5"/>
      <c r="AQ331" s="5"/>
      <c r="AR331" s="5"/>
      <c r="AS331" s="5"/>
      <c r="AT331" s="5"/>
      <c r="AU331" s="5"/>
    </row>
    <row r="332" ht="15.7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c r="AG332" s="5"/>
      <c r="AH332" s="5"/>
      <c r="AI332" s="5"/>
      <c r="AJ332" s="5"/>
      <c r="AK332" s="5"/>
      <c r="AL332" s="5"/>
      <c r="AM332" s="5"/>
      <c r="AN332" s="5"/>
      <c r="AO332" s="5"/>
      <c r="AP332" s="5"/>
      <c r="AQ332" s="5"/>
      <c r="AR332" s="5"/>
      <c r="AS332" s="5"/>
      <c r="AT332" s="5"/>
      <c r="AU332" s="5"/>
    </row>
    <row r="333" ht="15.7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c r="AG333" s="5"/>
      <c r="AH333" s="5"/>
      <c r="AI333" s="5"/>
      <c r="AJ333" s="5"/>
      <c r="AK333" s="5"/>
      <c r="AL333" s="5"/>
      <c r="AM333" s="5"/>
      <c r="AN333" s="5"/>
      <c r="AO333" s="5"/>
      <c r="AP333" s="5"/>
      <c r="AQ333" s="5"/>
      <c r="AR333" s="5"/>
      <c r="AS333" s="5"/>
      <c r="AT333" s="5"/>
      <c r="AU333" s="5"/>
    </row>
    <row r="334" ht="15.7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c r="AG334" s="5"/>
      <c r="AH334" s="5"/>
      <c r="AI334" s="5"/>
      <c r="AJ334" s="5"/>
      <c r="AK334" s="5"/>
      <c r="AL334" s="5"/>
      <c r="AM334" s="5"/>
      <c r="AN334" s="5"/>
      <c r="AO334" s="5"/>
      <c r="AP334" s="5"/>
      <c r="AQ334" s="5"/>
      <c r="AR334" s="5"/>
      <c r="AS334" s="5"/>
      <c r="AT334" s="5"/>
      <c r="AU334" s="5"/>
    </row>
    <row r="335" ht="15.7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c r="AG335" s="5"/>
      <c r="AH335" s="5"/>
      <c r="AI335" s="5"/>
      <c r="AJ335" s="5"/>
      <c r="AK335" s="5"/>
      <c r="AL335" s="5"/>
      <c r="AM335" s="5"/>
      <c r="AN335" s="5"/>
      <c r="AO335" s="5"/>
      <c r="AP335" s="5"/>
      <c r="AQ335" s="5"/>
      <c r="AR335" s="5"/>
      <c r="AS335" s="5"/>
      <c r="AT335" s="5"/>
      <c r="AU335" s="5"/>
    </row>
    <row r="336" ht="15.7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c r="AG336" s="5"/>
      <c r="AH336" s="5"/>
      <c r="AI336" s="5"/>
      <c r="AJ336" s="5"/>
      <c r="AK336" s="5"/>
      <c r="AL336" s="5"/>
      <c r="AM336" s="5"/>
      <c r="AN336" s="5"/>
      <c r="AO336" s="5"/>
      <c r="AP336" s="5"/>
      <c r="AQ336" s="5"/>
      <c r="AR336" s="5"/>
      <c r="AS336" s="5"/>
      <c r="AT336" s="5"/>
      <c r="AU336" s="5"/>
    </row>
    <row r="337" ht="15.7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5"/>
      <c r="AH337" s="5"/>
      <c r="AI337" s="5"/>
      <c r="AJ337" s="5"/>
      <c r="AK337" s="5"/>
      <c r="AL337" s="5"/>
      <c r="AM337" s="5"/>
      <c r="AN337" s="5"/>
      <c r="AO337" s="5"/>
      <c r="AP337" s="5"/>
      <c r="AQ337" s="5"/>
      <c r="AR337" s="5"/>
      <c r="AS337" s="5"/>
      <c r="AT337" s="5"/>
      <c r="AU337" s="5"/>
    </row>
    <row r="338" ht="15.7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c r="AG338" s="5"/>
      <c r="AH338" s="5"/>
      <c r="AI338" s="5"/>
      <c r="AJ338" s="5"/>
      <c r="AK338" s="5"/>
      <c r="AL338" s="5"/>
      <c r="AM338" s="5"/>
      <c r="AN338" s="5"/>
      <c r="AO338" s="5"/>
      <c r="AP338" s="5"/>
      <c r="AQ338" s="5"/>
      <c r="AR338" s="5"/>
      <c r="AS338" s="5"/>
      <c r="AT338" s="5"/>
      <c r="AU338" s="5"/>
    </row>
    <row r="339" ht="15.7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c r="AG339" s="5"/>
      <c r="AH339" s="5"/>
      <c r="AI339" s="5"/>
      <c r="AJ339" s="5"/>
      <c r="AK339" s="5"/>
      <c r="AL339" s="5"/>
      <c r="AM339" s="5"/>
      <c r="AN339" s="5"/>
      <c r="AO339" s="5"/>
      <c r="AP339" s="5"/>
      <c r="AQ339" s="5"/>
      <c r="AR339" s="5"/>
      <c r="AS339" s="5"/>
      <c r="AT339" s="5"/>
      <c r="AU339" s="5"/>
    </row>
    <row r="340" ht="15.7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c r="AH340" s="5"/>
      <c r="AI340" s="5"/>
      <c r="AJ340" s="5"/>
      <c r="AK340" s="5"/>
      <c r="AL340" s="5"/>
      <c r="AM340" s="5"/>
      <c r="AN340" s="5"/>
      <c r="AO340" s="5"/>
      <c r="AP340" s="5"/>
      <c r="AQ340" s="5"/>
      <c r="AR340" s="5"/>
      <c r="AS340" s="5"/>
      <c r="AT340" s="5"/>
      <c r="AU340" s="5"/>
    </row>
    <row r="341" ht="15.7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c r="AG341" s="5"/>
      <c r="AH341" s="5"/>
      <c r="AI341" s="5"/>
      <c r="AJ341" s="5"/>
      <c r="AK341" s="5"/>
      <c r="AL341" s="5"/>
      <c r="AM341" s="5"/>
      <c r="AN341" s="5"/>
      <c r="AO341" s="5"/>
      <c r="AP341" s="5"/>
      <c r="AQ341" s="5"/>
      <c r="AR341" s="5"/>
      <c r="AS341" s="5"/>
      <c r="AT341" s="5"/>
      <c r="AU341" s="5"/>
    </row>
    <row r="342" ht="15.7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c r="AG342" s="5"/>
      <c r="AH342" s="5"/>
      <c r="AI342" s="5"/>
      <c r="AJ342" s="5"/>
      <c r="AK342" s="5"/>
      <c r="AL342" s="5"/>
      <c r="AM342" s="5"/>
      <c r="AN342" s="5"/>
      <c r="AO342" s="5"/>
      <c r="AP342" s="5"/>
      <c r="AQ342" s="5"/>
      <c r="AR342" s="5"/>
      <c r="AS342" s="5"/>
      <c r="AT342" s="5"/>
      <c r="AU342" s="5"/>
    </row>
    <row r="343" ht="15.7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c r="AG343" s="5"/>
      <c r="AH343" s="5"/>
      <c r="AI343" s="5"/>
      <c r="AJ343" s="5"/>
      <c r="AK343" s="5"/>
      <c r="AL343" s="5"/>
      <c r="AM343" s="5"/>
      <c r="AN343" s="5"/>
      <c r="AO343" s="5"/>
      <c r="AP343" s="5"/>
      <c r="AQ343" s="5"/>
      <c r="AR343" s="5"/>
      <c r="AS343" s="5"/>
      <c r="AT343" s="5"/>
      <c r="AU343" s="5"/>
    </row>
    <row r="344" ht="15.7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c r="AG344" s="5"/>
      <c r="AH344" s="5"/>
      <c r="AI344" s="5"/>
      <c r="AJ344" s="5"/>
      <c r="AK344" s="5"/>
      <c r="AL344" s="5"/>
      <c r="AM344" s="5"/>
      <c r="AN344" s="5"/>
      <c r="AO344" s="5"/>
      <c r="AP344" s="5"/>
      <c r="AQ344" s="5"/>
      <c r="AR344" s="5"/>
      <c r="AS344" s="5"/>
      <c r="AT344" s="5"/>
      <c r="AU344" s="5"/>
    </row>
    <row r="345" ht="15.7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c r="AG345" s="5"/>
      <c r="AH345" s="5"/>
      <c r="AI345" s="5"/>
      <c r="AJ345" s="5"/>
      <c r="AK345" s="5"/>
      <c r="AL345" s="5"/>
      <c r="AM345" s="5"/>
      <c r="AN345" s="5"/>
      <c r="AO345" s="5"/>
      <c r="AP345" s="5"/>
      <c r="AQ345" s="5"/>
      <c r="AR345" s="5"/>
      <c r="AS345" s="5"/>
      <c r="AT345" s="5"/>
      <c r="AU345" s="5"/>
    </row>
    <row r="346" ht="15.7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c r="AG346" s="5"/>
      <c r="AH346" s="5"/>
      <c r="AI346" s="5"/>
      <c r="AJ346" s="5"/>
      <c r="AK346" s="5"/>
      <c r="AL346" s="5"/>
      <c r="AM346" s="5"/>
      <c r="AN346" s="5"/>
      <c r="AO346" s="5"/>
      <c r="AP346" s="5"/>
      <c r="AQ346" s="5"/>
      <c r="AR346" s="5"/>
      <c r="AS346" s="5"/>
      <c r="AT346" s="5"/>
      <c r="AU346" s="5"/>
    </row>
    <row r="347" ht="15.7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c r="AG347" s="5"/>
      <c r="AH347" s="5"/>
      <c r="AI347" s="5"/>
      <c r="AJ347" s="5"/>
      <c r="AK347" s="5"/>
      <c r="AL347" s="5"/>
      <c r="AM347" s="5"/>
      <c r="AN347" s="5"/>
      <c r="AO347" s="5"/>
      <c r="AP347" s="5"/>
      <c r="AQ347" s="5"/>
      <c r="AR347" s="5"/>
      <c r="AS347" s="5"/>
      <c r="AT347" s="5"/>
      <c r="AU347" s="5"/>
    </row>
    <row r="348" ht="15.7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c r="AG348" s="5"/>
      <c r="AH348" s="5"/>
      <c r="AI348" s="5"/>
      <c r="AJ348" s="5"/>
      <c r="AK348" s="5"/>
      <c r="AL348" s="5"/>
      <c r="AM348" s="5"/>
      <c r="AN348" s="5"/>
      <c r="AO348" s="5"/>
      <c r="AP348" s="5"/>
      <c r="AQ348" s="5"/>
      <c r="AR348" s="5"/>
      <c r="AS348" s="5"/>
      <c r="AT348" s="5"/>
      <c r="AU348" s="5"/>
    </row>
    <row r="349" ht="15.7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c r="AG349" s="5"/>
      <c r="AH349" s="5"/>
      <c r="AI349" s="5"/>
      <c r="AJ349" s="5"/>
      <c r="AK349" s="5"/>
      <c r="AL349" s="5"/>
      <c r="AM349" s="5"/>
      <c r="AN349" s="5"/>
      <c r="AO349" s="5"/>
      <c r="AP349" s="5"/>
      <c r="AQ349" s="5"/>
      <c r="AR349" s="5"/>
      <c r="AS349" s="5"/>
      <c r="AT349" s="5"/>
      <c r="AU349" s="5"/>
    </row>
    <row r="350" ht="15.7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c r="AG350" s="5"/>
      <c r="AH350" s="5"/>
      <c r="AI350" s="5"/>
      <c r="AJ350" s="5"/>
      <c r="AK350" s="5"/>
      <c r="AL350" s="5"/>
      <c r="AM350" s="5"/>
      <c r="AN350" s="5"/>
      <c r="AO350" s="5"/>
      <c r="AP350" s="5"/>
      <c r="AQ350" s="5"/>
      <c r="AR350" s="5"/>
      <c r="AS350" s="5"/>
      <c r="AT350" s="5"/>
      <c r="AU350" s="5"/>
    </row>
    <row r="351" ht="15.7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c r="AG351" s="5"/>
      <c r="AH351" s="5"/>
      <c r="AI351" s="5"/>
      <c r="AJ351" s="5"/>
      <c r="AK351" s="5"/>
      <c r="AL351" s="5"/>
      <c r="AM351" s="5"/>
      <c r="AN351" s="5"/>
      <c r="AO351" s="5"/>
      <c r="AP351" s="5"/>
      <c r="AQ351" s="5"/>
      <c r="AR351" s="5"/>
      <c r="AS351" s="5"/>
      <c r="AT351" s="5"/>
      <c r="AU351" s="5"/>
    </row>
    <row r="352" ht="15.7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c r="AG352" s="5"/>
      <c r="AH352" s="5"/>
      <c r="AI352" s="5"/>
      <c r="AJ352" s="5"/>
      <c r="AK352" s="5"/>
      <c r="AL352" s="5"/>
      <c r="AM352" s="5"/>
      <c r="AN352" s="5"/>
      <c r="AO352" s="5"/>
      <c r="AP352" s="5"/>
      <c r="AQ352" s="5"/>
      <c r="AR352" s="5"/>
      <c r="AS352" s="5"/>
      <c r="AT352" s="5"/>
      <c r="AU352" s="5"/>
    </row>
    <row r="353" ht="15.7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c r="AG353" s="5"/>
      <c r="AH353" s="5"/>
      <c r="AI353" s="5"/>
      <c r="AJ353" s="5"/>
      <c r="AK353" s="5"/>
      <c r="AL353" s="5"/>
      <c r="AM353" s="5"/>
      <c r="AN353" s="5"/>
      <c r="AO353" s="5"/>
      <c r="AP353" s="5"/>
      <c r="AQ353" s="5"/>
      <c r="AR353" s="5"/>
      <c r="AS353" s="5"/>
      <c r="AT353" s="5"/>
      <c r="AU353" s="5"/>
    </row>
    <row r="354" ht="15.7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c r="AG354" s="5"/>
      <c r="AH354" s="5"/>
      <c r="AI354" s="5"/>
      <c r="AJ354" s="5"/>
      <c r="AK354" s="5"/>
      <c r="AL354" s="5"/>
      <c r="AM354" s="5"/>
      <c r="AN354" s="5"/>
      <c r="AO354" s="5"/>
      <c r="AP354" s="5"/>
      <c r="AQ354" s="5"/>
      <c r="AR354" s="5"/>
      <c r="AS354" s="5"/>
      <c r="AT354" s="5"/>
      <c r="AU354" s="5"/>
    </row>
    <row r="355" ht="15.7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c r="AG355" s="5"/>
      <c r="AH355" s="5"/>
      <c r="AI355" s="5"/>
      <c r="AJ355" s="5"/>
      <c r="AK355" s="5"/>
      <c r="AL355" s="5"/>
      <c r="AM355" s="5"/>
      <c r="AN355" s="5"/>
      <c r="AO355" s="5"/>
      <c r="AP355" s="5"/>
      <c r="AQ355" s="5"/>
      <c r="AR355" s="5"/>
      <c r="AS355" s="5"/>
      <c r="AT355" s="5"/>
      <c r="AU355" s="5"/>
    </row>
    <row r="356" ht="15.7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c r="AG356" s="5"/>
      <c r="AH356" s="5"/>
      <c r="AI356" s="5"/>
      <c r="AJ356" s="5"/>
      <c r="AK356" s="5"/>
      <c r="AL356" s="5"/>
      <c r="AM356" s="5"/>
      <c r="AN356" s="5"/>
      <c r="AO356" s="5"/>
      <c r="AP356" s="5"/>
      <c r="AQ356" s="5"/>
      <c r="AR356" s="5"/>
      <c r="AS356" s="5"/>
      <c r="AT356" s="5"/>
      <c r="AU356" s="5"/>
    </row>
    <row r="357" ht="15.7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c r="AG357" s="5"/>
      <c r="AH357" s="5"/>
      <c r="AI357" s="5"/>
      <c r="AJ357" s="5"/>
      <c r="AK357" s="5"/>
      <c r="AL357" s="5"/>
      <c r="AM357" s="5"/>
      <c r="AN357" s="5"/>
      <c r="AO357" s="5"/>
      <c r="AP357" s="5"/>
      <c r="AQ357" s="5"/>
      <c r="AR357" s="5"/>
      <c r="AS357" s="5"/>
      <c r="AT357" s="5"/>
      <c r="AU357" s="5"/>
    </row>
    <row r="358" ht="15.7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c r="AG358" s="5"/>
      <c r="AH358" s="5"/>
      <c r="AI358" s="5"/>
      <c r="AJ358" s="5"/>
      <c r="AK358" s="5"/>
      <c r="AL358" s="5"/>
      <c r="AM358" s="5"/>
      <c r="AN358" s="5"/>
      <c r="AO358" s="5"/>
      <c r="AP358" s="5"/>
      <c r="AQ358" s="5"/>
      <c r="AR358" s="5"/>
      <c r="AS358" s="5"/>
      <c r="AT358" s="5"/>
      <c r="AU358" s="5"/>
    </row>
    <row r="359" ht="15.7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c r="AG359" s="5"/>
      <c r="AH359" s="5"/>
      <c r="AI359" s="5"/>
      <c r="AJ359" s="5"/>
      <c r="AK359" s="5"/>
      <c r="AL359" s="5"/>
      <c r="AM359" s="5"/>
      <c r="AN359" s="5"/>
      <c r="AO359" s="5"/>
      <c r="AP359" s="5"/>
      <c r="AQ359" s="5"/>
      <c r="AR359" s="5"/>
      <c r="AS359" s="5"/>
      <c r="AT359" s="5"/>
      <c r="AU359" s="5"/>
    </row>
    <row r="360" ht="15.7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c r="AG360" s="5"/>
      <c r="AH360" s="5"/>
      <c r="AI360" s="5"/>
      <c r="AJ360" s="5"/>
      <c r="AK360" s="5"/>
      <c r="AL360" s="5"/>
      <c r="AM360" s="5"/>
      <c r="AN360" s="5"/>
      <c r="AO360" s="5"/>
      <c r="AP360" s="5"/>
      <c r="AQ360" s="5"/>
      <c r="AR360" s="5"/>
      <c r="AS360" s="5"/>
      <c r="AT360" s="5"/>
      <c r="AU360" s="5"/>
    </row>
    <row r="361" ht="15.7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c r="AG361" s="5"/>
      <c r="AH361" s="5"/>
      <c r="AI361" s="5"/>
      <c r="AJ361" s="5"/>
      <c r="AK361" s="5"/>
      <c r="AL361" s="5"/>
      <c r="AM361" s="5"/>
      <c r="AN361" s="5"/>
      <c r="AO361" s="5"/>
      <c r="AP361" s="5"/>
      <c r="AQ361" s="5"/>
      <c r="AR361" s="5"/>
      <c r="AS361" s="5"/>
      <c r="AT361" s="5"/>
      <c r="AU361" s="5"/>
    </row>
    <row r="362" ht="15.7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c r="AG362" s="5"/>
      <c r="AH362" s="5"/>
      <c r="AI362" s="5"/>
      <c r="AJ362" s="5"/>
      <c r="AK362" s="5"/>
      <c r="AL362" s="5"/>
      <c r="AM362" s="5"/>
      <c r="AN362" s="5"/>
      <c r="AO362" s="5"/>
      <c r="AP362" s="5"/>
      <c r="AQ362" s="5"/>
      <c r="AR362" s="5"/>
      <c r="AS362" s="5"/>
      <c r="AT362" s="5"/>
      <c r="AU362" s="5"/>
    </row>
    <row r="363" ht="15.7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c r="AG363" s="5"/>
      <c r="AH363" s="5"/>
      <c r="AI363" s="5"/>
      <c r="AJ363" s="5"/>
      <c r="AK363" s="5"/>
      <c r="AL363" s="5"/>
      <c r="AM363" s="5"/>
      <c r="AN363" s="5"/>
      <c r="AO363" s="5"/>
      <c r="AP363" s="5"/>
      <c r="AQ363" s="5"/>
      <c r="AR363" s="5"/>
      <c r="AS363" s="5"/>
      <c r="AT363" s="5"/>
      <c r="AU363" s="5"/>
    </row>
    <row r="364" ht="15.7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c r="AG364" s="5"/>
      <c r="AH364" s="5"/>
      <c r="AI364" s="5"/>
      <c r="AJ364" s="5"/>
      <c r="AK364" s="5"/>
      <c r="AL364" s="5"/>
      <c r="AM364" s="5"/>
      <c r="AN364" s="5"/>
      <c r="AO364" s="5"/>
      <c r="AP364" s="5"/>
      <c r="AQ364" s="5"/>
      <c r="AR364" s="5"/>
      <c r="AS364" s="5"/>
      <c r="AT364" s="5"/>
      <c r="AU364" s="5"/>
    </row>
    <row r="365" ht="15.7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c r="AG365" s="5"/>
      <c r="AH365" s="5"/>
      <c r="AI365" s="5"/>
      <c r="AJ365" s="5"/>
      <c r="AK365" s="5"/>
      <c r="AL365" s="5"/>
      <c r="AM365" s="5"/>
      <c r="AN365" s="5"/>
      <c r="AO365" s="5"/>
      <c r="AP365" s="5"/>
      <c r="AQ365" s="5"/>
      <c r="AR365" s="5"/>
      <c r="AS365" s="5"/>
      <c r="AT365" s="5"/>
      <c r="AU365" s="5"/>
    </row>
    <row r="366" ht="15.7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c r="AG366" s="5"/>
      <c r="AH366" s="5"/>
      <c r="AI366" s="5"/>
      <c r="AJ366" s="5"/>
      <c r="AK366" s="5"/>
      <c r="AL366" s="5"/>
      <c r="AM366" s="5"/>
      <c r="AN366" s="5"/>
      <c r="AO366" s="5"/>
      <c r="AP366" s="5"/>
      <c r="AQ366" s="5"/>
      <c r="AR366" s="5"/>
      <c r="AS366" s="5"/>
      <c r="AT366" s="5"/>
      <c r="AU366" s="5"/>
    </row>
    <row r="367" ht="15.7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c r="AG367" s="5"/>
      <c r="AH367" s="5"/>
      <c r="AI367" s="5"/>
      <c r="AJ367" s="5"/>
      <c r="AK367" s="5"/>
      <c r="AL367" s="5"/>
      <c r="AM367" s="5"/>
      <c r="AN367" s="5"/>
      <c r="AO367" s="5"/>
      <c r="AP367" s="5"/>
      <c r="AQ367" s="5"/>
      <c r="AR367" s="5"/>
      <c r="AS367" s="5"/>
      <c r="AT367" s="5"/>
      <c r="AU367" s="5"/>
    </row>
    <row r="368" ht="15.7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c r="AG368" s="5"/>
      <c r="AH368" s="5"/>
      <c r="AI368" s="5"/>
      <c r="AJ368" s="5"/>
      <c r="AK368" s="5"/>
      <c r="AL368" s="5"/>
      <c r="AM368" s="5"/>
      <c r="AN368" s="5"/>
      <c r="AO368" s="5"/>
      <c r="AP368" s="5"/>
      <c r="AQ368" s="5"/>
      <c r="AR368" s="5"/>
      <c r="AS368" s="5"/>
      <c r="AT368" s="5"/>
      <c r="AU368" s="5"/>
    </row>
    <row r="369" ht="15.7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c r="AG369" s="5"/>
      <c r="AH369" s="5"/>
      <c r="AI369" s="5"/>
      <c r="AJ369" s="5"/>
      <c r="AK369" s="5"/>
      <c r="AL369" s="5"/>
      <c r="AM369" s="5"/>
      <c r="AN369" s="5"/>
      <c r="AO369" s="5"/>
      <c r="AP369" s="5"/>
      <c r="AQ369" s="5"/>
      <c r="AR369" s="5"/>
      <c r="AS369" s="5"/>
      <c r="AT369" s="5"/>
      <c r="AU369" s="5"/>
    </row>
    <row r="370" ht="15.7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c r="AG370" s="5"/>
      <c r="AH370" s="5"/>
      <c r="AI370" s="5"/>
      <c r="AJ370" s="5"/>
      <c r="AK370" s="5"/>
      <c r="AL370" s="5"/>
      <c r="AM370" s="5"/>
      <c r="AN370" s="5"/>
      <c r="AO370" s="5"/>
      <c r="AP370" s="5"/>
      <c r="AQ370" s="5"/>
      <c r="AR370" s="5"/>
      <c r="AS370" s="5"/>
      <c r="AT370" s="5"/>
      <c r="AU370" s="5"/>
    </row>
    <row r="371" ht="15.7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c r="AG371" s="5"/>
      <c r="AH371" s="5"/>
      <c r="AI371" s="5"/>
      <c r="AJ371" s="5"/>
      <c r="AK371" s="5"/>
      <c r="AL371" s="5"/>
      <c r="AM371" s="5"/>
      <c r="AN371" s="5"/>
      <c r="AO371" s="5"/>
      <c r="AP371" s="5"/>
      <c r="AQ371" s="5"/>
      <c r="AR371" s="5"/>
      <c r="AS371" s="5"/>
      <c r="AT371" s="5"/>
      <c r="AU371" s="5"/>
    </row>
    <row r="372" ht="15.7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c r="AG372" s="5"/>
      <c r="AH372" s="5"/>
      <c r="AI372" s="5"/>
      <c r="AJ372" s="5"/>
      <c r="AK372" s="5"/>
      <c r="AL372" s="5"/>
      <c r="AM372" s="5"/>
      <c r="AN372" s="5"/>
      <c r="AO372" s="5"/>
      <c r="AP372" s="5"/>
      <c r="AQ372" s="5"/>
      <c r="AR372" s="5"/>
      <c r="AS372" s="5"/>
      <c r="AT372" s="5"/>
      <c r="AU372" s="5"/>
    </row>
    <row r="373" ht="15.7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c r="AG373" s="5"/>
      <c r="AH373" s="5"/>
      <c r="AI373" s="5"/>
      <c r="AJ373" s="5"/>
      <c r="AK373" s="5"/>
      <c r="AL373" s="5"/>
      <c r="AM373" s="5"/>
      <c r="AN373" s="5"/>
      <c r="AO373" s="5"/>
      <c r="AP373" s="5"/>
      <c r="AQ373" s="5"/>
      <c r="AR373" s="5"/>
      <c r="AS373" s="5"/>
      <c r="AT373" s="5"/>
      <c r="AU373" s="5"/>
    </row>
    <row r="374" ht="15.7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c r="AG374" s="5"/>
      <c r="AH374" s="5"/>
      <c r="AI374" s="5"/>
      <c r="AJ374" s="5"/>
      <c r="AK374" s="5"/>
      <c r="AL374" s="5"/>
      <c r="AM374" s="5"/>
      <c r="AN374" s="5"/>
      <c r="AO374" s="5"/>
      <c r="AP374" s="5"/>
      <c r="AQ374" s="5"/>
      <c r="AR374" s="5"/>
      <c r="AS374" s="5"/>
      <c r="AT374" s="5"/>
      <c r="AU374" s="5"/>
    </row>
    <row r="375" ht="15.7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c r="AG375" s="5"/>
      <c r="AH375" s="5"/>
      <c r="AI375" s="5"/>
      <c r="AJ375" s="5"/>
      <c r="AK375" s="5"/>
      <c r="AL375" s="5"/>
      <c r="AM375" s="5"/>
      <c r="AN375" s="5"/>
      <c r="AO375" s="5"/>
      <c r="AP375" s="5"/>
      <c r="AQ375" s="5"/>
      <c r="AR375" s="5"/>
      <c r="AS375" s="5"/>
      <c r="AT375" s="5"/>
      <c r="AU375" s="5"/>
    </row>
    <row r="376" ht="15.7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c r="AG376" s="5"/>
      <c r="AH376" s="5"/>
      <c r="AI376" s="5"/>
      <c r="AJ376" s="5"/>
      <c r="AK376" s="5"/>
      <c r="AL376" s="5"/>
      <c r="AM376" s="5"/>
      <c r="AN376" s="5"/>
      <c r="AO376" s="5"/>
      <c r="AP376" s="5"/>
      <c r="AQ376" s="5"/>
      <c r="AR376" s="5"/>
      <c r="AS376" s="5"/>
      <c r="AT376" s="5"/>
      <c r="AU376" s="5"/>
    </row>
    <row r="377" ht="15.7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c r="AG377" s="5"/>
      <c r="AH377" s="5"/>
      <c r="AI377" s="5"/>
      <c r="AJ377" s="5"/>
      <c r="AK377" s="5"/>
      <c r="AL377" s="5"/>
      <c r="AM377" s="5"/>
      <c r="AN377" s="5"/>
      <c r="AO377" s="5"/>
      <c r="AP377" s="5"/>
      <c r="AQ377" s="5"/>
      <c r="AR377" s="5"/>
      <c r="AS377" s="5"/>
      <c r="AT377" s="5"/>
      <c r="AU377" s="5"/>
    </row>
    <row r="378" ht="15.7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c r="AG378" s="5"/>
      <c r="AH378" s="5"/>
      <c r="AI378" s="5"/>
      <c r="AJ378" s="5"/>
      <c r="AK378" s="5"/>
      <c r="AL378" s="5"/>
      <c r="AM378" s="5"/>
      <c r="AN378" s="5"/>
      <c r="AO378" s="5"/>
      <c r="AP378" s="5"/>
      <c r="AQ378" s="5"/>
      <c r="AR378" s="5"/>
      <c r="AS378" s="5"/>
      <c r="AT378" s="5"/>
      <c r="AU378" s="5"/>
    </row>
    <row r="379" ht="15.7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c r="AG379" s="5"/>
      <c r="AH379" s="5"/>
      <c r="AI379" s="5"/>
      <c r="AJ379" s="5"/>
      <c r="AK379" s="5"/>
      <c r="AL379" s="5"/>
      <c r="AM379" s="5"/>
      <c r="AN379" s="5"/>
      <c r="AO379" s="5"/>
      <c r="AP379" s="5"/>
      <c r="AQ379" s="5"/>
      <c r="AR379" s="5"/>
      <c r="AS379" s="5"/>
      <c r="AT379" s="5"/>
      <c r="AU379" s="5"/>
    </row>
    <row r="380" ht="15.7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c r="AG380" s="5"/>
      <c r="AH380" s="5"/>
      <c r="AI380" s="5"/>
      <c r="AJ380" s="5"/>
      <c r="AK380" s="5"/>
      <c r="AL380" s="5"/>
      <c r="AM380" s="5"/>
      <c r="AN380" s="5"/>
      <c r="AO380" s="5"/>
      <c r="AP380" s="5"/>
      <c r="AQ380" s="5"/>
      <c r="AR380" s="5"/>
      <c r="AS380" s="5"/>
      <c r="AT380" s="5"/>
      <c r="AU380" s="5"/>
    </row>
    <row r="381" ht="15.7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c r="AG381" s="5"/>
      <c r="AH381" s="5"/>
      <c r="AI381" s="5"/>
      <c r="AJ381" s="5"/>
      <c r="AK381" s="5"/>
      <c r="AL381" s="5"/>
      <c r="AM381" s="5"/>
      <c r="AN381" s="5"/>
      <c r="AO381" s="5"/>
      <c r="AP381" s="5"/>
      <c r="AQ381" s="5"/>
      <c r="AR381" s="5"/>
      <c r="AS381" s="5"/>
      <c r="AT381" s="5"/>
      <c r="AU381" s="5"/>
    </row>
    <row r="382" ht="15.7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c r="AG382" s="5"/>
      <c r="AH382" s="5"/>
      <c r="AI382" s="5"/>
      <c r="AJ382" s="5"/>
      <c r="AK382" s="5"/>
      <c r="AL382" s="5"/>
      <c r="AM382" s="5"/>
      <c r="AN382" s="5"/>
      <c r="AO382" s="5"/>
      <c r="AP382" s="5"/>
      <c r="AQ382" s="5"/>
      <c r="AR382" s="5"/>
      <c r="AS382" s="5"/>
      <c r="AT382" s="5"/>
      <c r="AU382" s="5"/>
    </row>
    <row r="383" ht="15.7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c r="AG383" s="5"/>
      <c r="AH383" s="5"/>
      <c r="AI383" s="5"/>
      <c r="AJ383" s="5"/>
      <c r="AK383" s="5"/>
      <c r="AL383" s="5"/>
      <c r="AM383" s="5"/>
      <c r="AN383" s="5"/>
      <c r="AO383" s="5"/>
      <c r="AP383" s="5"/>
      <c r="AQ383" s="5"/>
      <c r="AR383" s="5"/>
      <c r="AS383" s="5"/>
      <c r="AT383" s="5"/>
      <c r="AU383" s="5"/>
    </row>
    <row r="384" ht="15.7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c r="AG384" s="5"/>
      <c r="AH384" s="5"/>
      <c r="AI384" s="5"/>
      <c r="AJ384" s="5"/>
      <c r="AK384" s="5"/>
      <c r="AL384" s="5"/>
      <c r="AM384" s="5"/>
      <c r="AN384" s="5"/>
      <c r="AO384" s="5"/>
      <c r="AP384" s="5"/>
      <c r="AQ384" s="5"/>
      <c r="AR384" s="5"/>
      <c r="AS384" s="5"/>
      <c r="AT384" s="5"/>
      <c r="AU384" s="5"/>
    </row>
    <row r="385" ht="15.7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c r="AG385" s="5"/>
      <c r="AH385" s="5"/>
      <c r="AI385" s="5"/>
      <c r="AJ385" s="5"/>
      <c r="AK385" s="5"/>
      <c r="AL385" s="5"/>
      <c r="AM385" s="5"/>
      <c r="AN385" s="5"/>
      <c r="AO385" s="5"/>
      <c r="AP385" s="5"/>
      <c r="AQ385" s="5"/>
      <c r="AR385" s="5"/>
      <c r="AS385" s="5"/>
      <c r="AT385" s="5"/>
      <c r="AU385" s="5"/>
    </row>
    <row r="386" ht="15.7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c r="AG386" s="5"/>
      <c r="AH386" s="5"/>
      <c r="AI386" s="5"/>
      <c r="AJ386" s="5"/>
      <c r="AK386" s="5"/>
      <c r="AL386" s="5"/>
      <c r="AM386" s="5"/>
      <c r="AN386" s="5"/>
      <c r="AO386" s="5"/>
      <c r="AP386" s="5"/>
      <c r="AQ386" s="5"/>
      <c r="AR386" s="5"/>
      <c r="AS386" s="5"/>
      <c r="AT386" s="5"/>
      <c r="AU386" s="5"/>
    </row>
    <row r="387" ht="15.7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c r="AG387" s="5"/>
      <c r="AH387" s="5"/>
      <c r="AI387" s="5"/>
      <c r="AJ387" s="5"/>
      <c r="AK387" s="5"/>
      <c r="AL387" s="5"/>
      <c r="AM387" s="5"/>
      <c r="AN387" s="5"/>
      <c r="AO387" s="5"/>
      <c r="AP387" s="5"/>
      <c r="AQ387" s="5"/>
      <c r="AR387" s="5"/>
      <c r="AS387" s="5"/>
      <c r="AT387" s="5"/>
      <c r="AU387" s="5"/>
    </row>
    <row r="388" ht="15.7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c r="AG388" s="5"/>
      <c r="AH388" s="5"/>
      <c r="AI388" s="5"/>
      <c r="AJ388" s="5"/>
      <c r="AK388" s="5"/>
      <c r="AL388" s="5"/>
      <c r="AM388" s="5"/>
      <c r="AN388" s="5"/>
      <c r="AO388" s="5"/>
      <c r="AP388" s="5"/>
      <c r="AQ388" s="5"/>
      <c r="AR388" s="5"/>
      <c r="AS388" s="5"/>
      <c r="AT388" s="5"/>
      <c r="AU388" s="5"/>
    </row>
    <row r="389" ht="15.7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c r="AG389" s="5"/>
      <c r="AH389" s="5"/>
      <c r="AI389" s="5"/>
      <c r="AJ389" s="5"/>
      <c r="AK389" s="5"/>
      <c r="AL389" s="5"/>
      <c r="AM389" s="5"/>
      <c r="AN389" s="5"/>
      <c r="AO389" s="5"/>
      <c r="AP389" s="5"/>
      <c r="AQ389" s="5"/>
      <c r="AR389" s="5"/>
      <c r="AS389" s="5"/>
      <c r="AT389" s="5"/>
      <c r="AU389" s="5"/>
    </row>
    <row r="390" ht="15.7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c r="AG390" s="5"/>
      <c r="AH390" s="5"/>
      <c r="AI390" s="5"/>
      <c r="AJ390" s="5"/>
      <c r="AK390" s="5"/>
      <c r="AL390" s="5"/>
      <c r="AM390" s="5"/>
      <c r="AN390" s="5"/>
      <c r="AO390" s="5"/>
      <c r="AP390" s="5"/>
      <c r="AQ390" s="5"/>
      <c r="AR390" s="5"/>
      <c r="AS390" s="5"/>
      <c r="AT390" s="5"/>
      <c r="AU390" s="5"/>
    </row>
    <row r="391" ht="15.7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c r="AG391" s="5"/>
      <c r="AH391" s="5"/>
      <c r="AI391" s="5"/>
      <c r="AJ391" s="5"/>
      <c r="AK391" s="5"/>
      <c r="AL391" s="5"/>
      <c r="AM391" s="5"/>
      <c r="AN391" s="5"/>
      <c r="AO391" s="5"/>
      <c r="AP391" s="5"/>
      <c r="AQ391" s="5"/>
      <c r="AR391" s="5"/>
      <c r="AS391" s="5"/>
      <c r="AT391" s="5"/>
      <c r="AU391" s="5"/>
    </row>
    <row r="392" ht="15.7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c r="AG392" s="5"/>
      <c r="AH392" s="5"/>
      <c r="AI392" s="5"/>
      <c r="AJ392" s="5"/>
      <c r="AK392" s="5"/>
      <c r="AL392" s="5"/>
      <c r="AM392" s="5"/>
      <c r="AN392" s="5"/>
      <c r="AO392" s="5"/>
      <c r="AP392" s="5"/>
      <c r="AQ392" s="5"/>
      <c r="AR392" s="5"/>
      <c r="AS392" s="5"/>
      <c r="AT392" s="5"/>
      <c r="AU392" s="5"/>
    </row>
    <row r="393" ht="15.7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c r="AG393" s="5"/>
      <c r="AH393" s="5"/>
      <c r="AI393" s="5"/>
      <c r="AJ393" s="5"/>
      <c r="AK393" s="5"/>
      <c r="AL393" s="5"/>
      <c r="AM393" s="5"/>
      <c r="AN393" s="5"/>
      <c r="AO393" s="5"/>
      <c r="AP393" s="5"/>
      <c r="AQ393" s="5"/>
      <c r="AR393" s="5"/>
      <c r="AS393" s="5"/>
      <c r="AT393" s="5"/>
      <c r="AU393" s="5"/>
    </row>
    <row r="394" ht="15.7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c r="AG394" s="5"/>
      <c r="AH394" s="5"/>
      <c r="AI394" s="5"/>
      <c r="AJ394" s="5"/>
      <c r="AK394" s="5"/>
      <c r="AL394" s="5"/>
      <c r="AM394" s="5"/>
      <c r="AN394" s="5"/>
      <c r="AO394" s="5"/>
      <c r="AP394" s="5"/>
      <c r="AQ394" s="5"/>
      <c r="AR394" s="5"/>
      <c r="AS394" s="5"/>
      <c r="AT394" s="5"/>
      <c r="AU394" s="5"/>
    </row>
    <row r="395" ht="15.7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c r="AG395" s="5"/>
      <c r="AH395" s="5"/>
      <c r="AI395" s="5"/>
      <c r="AJ395" s="5"/>
      <c r="AK395" s="5"/>
      <c r="AL395" s="5"/>
      <c r="AM395" s="5"/>
      <c r="AN395" s="5"/>
      <c r="AO395" s="5"/>
      <c r="AP395" s="5"/>
      <c r="AQ395" s="5"/>
      <c r="AR395" s="5"/>
      <c r="AS395" s="5"/>
      <c r="AT395" s="5"/>
      <c r="AU395" s="5"/>
    </row>
    <row r="396" ht="15.7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c r="AG396" s="5"/>
      <c r="AH396" s="5"/>
      <c r="AI396" s="5"/>
      <c r="AJ396" s="5"/>
      <c r="AK396" s="5"/>
      <c r="AL396" s="5"/>
      <c r="AM396" s="5"/>
      <c r="AN396" s="5"/>
      <c r="AO396" s="5"/>
      <c r="AP396" s="5"/>
      <c r="AQ396" s="5"/>
      <c r="AR396" s="5"/>
      <c r="AS396" s="5"/>
      <c r="AT396" s="5"/>
      <c r="AU396" s="5"/>
    </row>
    <row r="397" ht="15.7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c r="AG397" s="5"/>
      <c r="AH397" s="5"/>
      <c r="AI397" s="5"/>
      <c r="AJ397" s="5"/>
      <c r="AK397" s="5"/>
      <c r="AL397" s="5"/>
      <c r="AM397" s="5"/>
      <c r="AN397" s="5"/>
      <c r="AO397" s="5"/>
      <c r="AP397" s="5"/>
      <c r="AQ397" s="5"/>
      <c r="AR397" s="5"/>
      <c r="AS397" s="5"/>
      <c r="AT397" s="5"/>
      <c r="AU397" s="5"/>
    </row>
    <row r="398" ht="15.7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c r="AG398" s="5"/>
      <c r="AH398" s="5"/>
      <c r="AI398" s="5"/>
      <c r="AJ398" s="5"/>
      <c r="AK398" s="5"/>
      <c r="AL398" s="5"/>
      <c r="AM398" s="5"/>
      <c r="AN398" s="5"/>
      <c r="AO398" s="5"/>
      <c r="AP398" s="5"/>
      <c r="AQ398" s="5"/>
      <c r="AR398" s="5"/>
      <c r="AS398" s="5"/>
      <c r="AT398" s="5"/>
      <c r="AU398" s="5"/>
    </row>
    <row r="399" ht="15.7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c r="AG399" s="5"/>
      <c r="AH399" s="5"/>
      <c r="AI399" s="5"/>
      <c r="AJ399" s="5"/>
      <c r="AK399" s="5"/>
      <c r="AL399" s="5"/>
      <c r="AM399" s="5"/>
      <c r="AN399" s="5"/>
      <c r="AO399" s="5"/>
      <c r="AP399" s="5"/>
      <c r="AQ399" s="5"/>
      <c r="AR399" s="5"/>
      <c r="AS399" s="5"/>
      <c r="AT399" s="5"/>
      <c r="AU399" s="5"/>
    </row>
    <row r="400" ht="15.7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c r="AG400" s="5"/>
      <c r="AH400" s="5"/>
      <c r="AI400" s="5"/>
      <c r="AJ400" s="5"/>
      <c r="AK400" s="5"/>
      <c r="AL400" s="5"/>
      <c r="AM400" s="5"/>
      <c r="AN400" s="5"/>
      <c r="AO400" s="5"/>
      <c r="AP400" s="5"/>
      <c r="AQ400" s="5"/>
      <c r="AR400" s="5"/>
      <c r="AS400" s="5"/>
      <c r="AT400" s="5"/>
      <c r="AU400" s="5"/>
    </row>
    <row r="401" ht="15.7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c r="AG401" s="5"/>
      <c r="AH401" s="5"/>
      <c r="AI401" s="5"/>
      <c r="AJ401" s="5"/>
      <c r="AK401" s="5"/>
      <c r="AL401" s="5"/>
      <c r="AM401" s="5"/>
      <c r="AN401" s="5"/>
      <c r="AO401" s="5"/>
      <c r="AP401" s="5"/>
      <c r="AQ401" s="5"/>
      <c r="AR401" s="5"/>
      <c r="AS401" s="5"/>
      <c r="AT401" s="5"/>
      <c r="AU401" s="5"/>
    </row>
    <row r="402" ht="15.7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c r="AG402" s="5"/>
      <c r="AH402" s="5"/>
      <c r="AI402" s="5"/>
      <c r="AJ402" s="5"/>
      <c r="AK402" s="5"/>
      <c r="AL402" s="5"/>
      <c r="AM402" s="5"/>
      <c r="AN402" s="5"/>
      <c r="AO402" s="5"/>
      <c r="AP402" s="5"/>
      <c r="AQ402" s="5"/>
      <c r="AR402" s="5"/>
      <c r="AS402" s="5"/>
      <c r="AT402" s="5"/>
      <c r="AU402" s="5"/>
    </row>
    <row r="403" ht="15.7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c r="AG403" s="5"/>
      <c r="AH403" s="5"/>
      <c r="AI403" s="5"/>
      <c r="AJ403" s="5"/>
      <c r="AK403" s="5"/>
      <c r="AL403" s="5"/>
      <c r="AM403" s="5"/>
      <c r="AN403" s="5"/>
      <c r="AO403" s="5"/>
      <c r="AP403" s="5"/>
      <c r="AQ403" s="5"/>
      <c r="AR403" s="5"/>
      <c r="AS403" s="5"/>
      <c r="AT403" s="5"/>
      <c r="AU403" s="5"/>
    </row>
    <row r="404" ht="15.7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c r="AG404" s="5"/>
      <c r="AH404" s="5"/>
      <c r="AI404" s="5"/>
      <c r="AJ404" s="5"/>
      <c r="AK404" s="5"/>
      <c r="AL404" s="5"/>
      <c r="AM404" s="5"/>
      <c r="AN404" s="5"/>
      <c r="AO404" s="5"/>
      <c r="AP404" s="5"/>
      <c r="AQ404" s="5"/>
      <c r="AR404" s="5"/>
      <c r="AS404" s="5"/>
      <c r="AT404" s="5"/>
      <c r="AU404" s="5"/>
    </row>
    <row r="405" ht="15.7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c r="AG405" s="5"/>
      <c r="AH405" s="5"/>
      <c r="AI405" s="5"/>
      <c r="AJ405" s="5"/>
      <c r="AK405" s="5"/>
      <c r="AL405" s="5"/>
      <c r="AM405" s="5"/>
      <c r="AN405" s="5"/>
      <c r="AO405" s="5"/>
      <c r="AP405" s="5"/>
      <c r="AQ405" s="5"/>
      <c r="AR405" s="5"/>
      <c r="AS405" s="5"/>
      <c r="AT405" s="5"/>
      <c r="AU405" s="5"/>
    </row>
    <row r="406" ht="15.7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c r="AG406" s="5"/>
      <c r="AH406" s="5"/>
      <c r="AI406" s="5"/>
      <c r="AJ406" s="5"/>
      <c r="AK406" s="5"/>
      <c r="AL406" s="5"/>
      <c r="AM406" s="5"/>
      <c r="AN406" s="5"/>
      <c r="AO406" s="5"/>
      <c r="AP406" s="5"/>
      <c r="AQ406" s="5"/>
      <c r="AR406" s="5"/>
      <c r="AS406" s="5"/>
      <c r="AT406" s="5"/>
      <c r="AU406" s="5"/>
    </row>
    <row r="407" ht="15.7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c r="AG407" s="5"/>
      <c r="AH407" s="5"/>
      <c r="AI407" s="5"/>
      <c r="AJ407" s="5"/>
      <c r="AK407" s="5"/>
      <c r="AL407" s="5"/>
      <c r="AM407" s="5"/>
      <c r="AN407" s="5"/>
      <c r="AO407" s="5"/>
      <c r="AP407" s="5"/>
      <c r="AQ407" s="5"/>
      <c r="AR407" s="5"/>
      <c r="AS407" s="5"/>
      <c r="AT407" s="5"/>
      <c r="AU407" s="5"/>
    </row>
    <row r="408" ht="15.7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c r="AG408" s="5"/>
      <c r="AH408" s="5"/>
      <c r="AI408" s="5"/>
      <c r="AJ408" s="5"/>
      <c r="AK408" s="5"/>
      <c r="AL408" s="5"/>
      <c r="AM408" s="5"/>
      <c r="AN408" s="5"/>
      <c r="AO408" s="5"/>
      <c r="AP408" s="5"/>
      <c r="AQ408" s="5"/>
      <c r="AR408" s="5"/>
      <c r="AS408" s="5"/>
      <c r="AT408" s="5"/>
      <c r="AU408" s="5"/>
    </row>
    <row r="409" ht="15.7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c r="AG409" s="5"/>
      <c r="AH409" s="5"/>
      <c r="AI409" s="5"/>
      <c r="AJ409" s="5"/>
      <c r="AK409" s="5"/>
      <c r="AL409" s="5"/>
      <c r="AM409" s="5"/>
      <c r="AN409" s="5"/>
      <c r="AO409" s="5"/>
      <c r="AP409" s="5"/>
      <c r="AQ409" s="5"/>
      <c r="AR409" s="5"/>
      <c r="AS409" s="5"/>
      <c r="AT409" s="5"/>
      <c r="AU409" s="5"/>
    </row>
    <row r="410" ht="15.7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c r="AG410" s="5"/>
      <c r="AH410" s="5"/>
      <c r="AI410" s="5"/>
      <c r="AJ410" s="5"/>
      <c r="AK410" s="5"/>
      <c r="AL410" s="5"/>
      <c r="AM410" s="5"/>
      <c r="AN410" s="5"/>
      <c r="AO410" s="5"/>
      <c r="AP410" s="5"/>
      <c r="AQ410" s="5"/>
      <c r="AR410" s="5"/>
      <c r="AS410" s="5"/>
      <c r="AT410" s="5"/>
      <c r="AU410" s="5"/>
    </row>
    <row r="411" ht="15.7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c r="AG411" s="5"/>
      <c r="AH411" s="5"/>
      <c r="AI411" s="5"/>
      <c r="AJ411" s="5"/>
      <c r="AK411" s="5"/>
      <c r="AL411" s="5"/>
      <c r="AM411" s="5"/>
      <c r="AN411" s="5"/>
      <c r="AO411" s="5"/>
      <c r="AP411" s="5"/>
      <c r="AQ411" s="5"/>
      <c r="AR411" s="5"/>
      <c r="AS411" s="5"/>
      <c r="AT411" s="5"/>
      <c r="AU411" s="5"/>
    </row>
    <row r="412" ht="15.7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c r="AG412" s="5"/>
      <c r="AH412" s="5"/>
      <c r="AI412" s="5"/>
      <c r="AJ412" s="5"/>
      <c r="AK412" s="5"/>
      <c r="AL412" s="5"/>
      <c r="AM412" s="5"/>
      <c r="AN412" s="5"/>
      <c r="AO412" s="5"/>
      <c r="AP412" s="5"/>
      <c r="AQ412" s="5"/>
      <c r="AR412" s="5"/>
      <c r="AS412" s="5"/>
      <c r="AT412" s="5"/>
      <c r="AU412" s="5"/>
    </row>
    <row r="413" ht="15.7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c r="AG413" s="5"/>
      <c r="AH413" s="5"/>
      <c r="AI413" s="5"/>
      <c r="AJ413" s="5"/>
      <c r="AK413" s="5"/>
      <c r="AL413" s="5"/>
      <c r="AM413" s="5"/>
      <c r="AN413" s="5"/>
      <c r="AO413" s="5"/>
      <c r="AP413" s="5"/>
      <c r="AQ413" s="5"/>
      <c r="AR413" s="5"/>
      <c r="AS413" s="5"/>
      <c r="AT413" s="5"/>
      <c r="AU413" s="5"/>
    </row>
    <row r="414" ht="15.7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c r="AG414" s="5"/>
      <c r="AH414" s="5"/>
      <c r="AI414" s="5"/>
      <c r="AJ414" s="5"/>
      <c r="AK414" s="5"/>
      <c r="AL414" s="5"/>
      <c r="AM414" s="5"/>
      <c r="AN414" s="5"/>
      <c r="AO414" s="5"/>
      <c r="AP414" s="5"/>
      <c r="AQ414" s="5"/>
      <c r="AR414" s="5"/>
      <c r="AS414" s="5"/>
      <c r="AT414" s="5"/>
      <c r="AU414" s="5"/>
    </row>
    <row r="415" ht="15.7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c r="AG415" s="5"/>
      <c r="AH415" s="5"/>
      <c r="AI415" s="5"/>
      <c r="AJ415" s="5"/>
      <c r="AK415" s="5"/>
      <c r="AL415" s="5"/>
      <c r="AM415" s="5"/>
      <c r="AN415" s="5"/>
      <c r="AO415" s="5"/>
      <c r="AP415" s="5"/>
      <c r="AQ415" s="5"/>
      <c r="AR415" s="5"/>
      <c r="AS415" s="5"/>
      <c r="AT415" s="5"/>
      <c r="AU415" s="5"/>
    </row>
    <row r="416" ht="15.7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c r="AG416" s="5"/>
      <c r="AH416" s="5"/>
      <c r="AI416" s="5"/>
      <c r="AJ416" s="5"/>
      <c r="AK416" s="5"/>
      <c r="AL416" s="5"/>
      <c r="AM416" s="5"/>
      <c r="AN416" s="5"/>
      <c r="AO416" s="5"/>
      <c r="AP416" s="5"/>
      <c r="AQ416" s="5"/>
      <c r="AR416" s="5"/>
      <c r="AS416" s="5"/>
      <c r="AT416" s="5"/>
      <c r="AU416" s="5"/>
    </row>
    <row r="417" ht="15.7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c r="AG417" s="5"/>
      <c r="AH417" s="5"/>
      <c r="AI417" s="5"/>
      <c r="AJ417" s="5"/>
      <c r="AK417" s="5"/>
      <c r="AL417" s="5"/>
      <c r="AM417" s="5"/>
      <c r="AN417" s="5"/>
      <c r="AO417" s="5"/>
      <c r="AP417" s="5"/>
      <c r="AQ417" s="5"/>
      <c r="AR417" s="5"/>
      <c r="AS417" s="5"/>
      <c r="AT417" s="5"/>
      <c r="AU417" s="5"/>
    </row>
    <row r="418" ht="15.7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c r="AG418" s="5"/>
      <c r="AH418" s="5"/>
      <c r="AI418" s="5"/>
      <c r="AJ418" s="5"/>
      <c r="AK418" s="5"/>
      <c r="AL418" s="5"/>
      <c r="AM418" s="5"/>
      <c r="AN418" s="5"/>
      <c r="AO418" s="5"/>
      <c r="AP418" s="5"/>
      <c r="AQ418" s="5"/>
      <c r="AR418" s="5"/>
      <c r="AS418" s="5"/>
      <c r="AT418" s="5"/>
      <c r="AU418" s="5"/>
    </row>
    <row r="419" ht="15.7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c r="AG419" s="5"/>
      <c r="AH419" s="5"/>
      <c r="AI419" s="5"/>
      <c r="AJ419" s="5"/>
      <c r="AK419" s="5"/>
      <c r="AL419" s="5"/>
      <c r="AM419" s="5"/>
      <c r="AN419" s="5"/>
      <c r="AO419" s="5"/>
      <c r="AP419" s="5"/>
      <c r="AQ419" s="5"/>
      <c r="AR419" s="5"/>
      <c r="AS419" s="5"/>
      <c r="AT419" s="5"/>
      <c r="AU419" s="5"/>
    </row>
    <row r="420" ht="15.7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c r="AG420" s="5"/>
      <c r="AH420" s="5"/>
      <c r="AI420" s="5"/>
      <c r="AJ420" s="5"/>
      <c r="AK420" s="5"/>
      <c r="AL420" s="5"/>
      <c r="AM420" s="5"/>
      <c r="AN420" s="5"/>
      <c r="AO420" s="5"/>
      <c r="AP420" s="5"/>
      <c r="AQ420" s="5"/>
      <c r="AR420" s="5"/>
      <c r="AS420" s="5"/>
      <c r="AT420" s="5"/>
      <c r="AU420" s="5"/>
    </row>
    <row r="421" ht="15.7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c r="AG421" s="5"/>
      <c r="AH421" s="5"/>
      <c r="AI421" s="5"/>
      <c r="AJ421" s="5"/>
      <c r="AK421" s="5"/>
      <c r="AL421" s="5"/>
      <c r="AM421" s="5"/>
      <c r="AN421" s="5"/>
      <c r="AO421" s="5"/>
      <c r="AP421" s="5"/>
      <c r="AQ421" s="5"/>
      <c r="AR421" s="5"/>
      <c r="AS421" s="5"/>
      <c r="AT421" s="5"/>
      <c r="AU421" s="5"/>
    </row>
    <row r="422" ht="15.7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c r="AG422" s="5"/>
      <c r="AH422" s="5"/>
      <c r="AI422" s="5"/>
      <c r="AJ422" s="5"/>
      <c r="AK422" s="5"/>
      <c r="AL422" s="5"/>
      <c r="AM422" s="5"/>
      <c r="AN422" s="5"/>
      <c r="AO422" s="5"/>
      <c r="AP422" s="5"/>
      <c r="AQ422" s="5"/>
      <c r="AR422" s="5"/>
      <c r="AS422" s="5"/>
      <c r="AT422" s="5"/>
      <c r="AU422" s="5"/>
    </row>
    <row r="423" ht="15.7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c r="AG423" s="5"/>
      <c r="AH423" s="5"/>
      <c r="AI423" s="5"/>
      <c r="AJ423" s="5"/>
      <c r="AK423" s="5"/>
      <c r="AL423" s="5"/>
      <c r="AM423" s="5"/>
      <c r="AN423" s="5"/>
      <c r="AO423" s="5"/>
      <c r="AP423" s="5"/>
      <c r="AQ423" s="5"/>
      <c r="AR423" s="5"/>
      <c r="AS423" s="5"/>
      <c r="AT423" s="5"/>
      <c r="AU423" s="5"/>
    </row>
    <row r="424" ht="15.7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c r="AG424" s="5"/>
      <c r="AH424" s="5"/>
      <c r="AI424" s="5"/>
      <c r="AJ424" s="5"/>
      <c r="AK424" s="5"/>
      <c r="AL424" s="5"/>
      <c r="AM424" s="5"/>
      <c r="AN424" s="5"/>
      <c r="AO424" s="5"/>
      <c r="AP424" s="5"/>
      <c r="AQ424" s="5"/>
      <c r="AR424" s="5"/>
      <c r="AS424" s="5"/>
      <c r="AT424" s="5"/>
      <c r="AU424" s="5"/>
    </row>
    <row r="425" ht="15.7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c r="AG425" s="5"/>
      <c r="AH425" s="5"/>
      <c r="AI425" s="5"/>
      <c r="AJ425" s="5"/>
      <c r="AK425" s="5"/>
      <c r="AL425" s="5"/>
      <c r="AM425" s="5"/>
      <c r="AN425" s="5"/>
      <c r="AO425" s="5"/>
      <c r="AP425" s="5"/>
      <c r="AQ425" s="5"/>
      <c r="AR425" s="5"/>
      <c r="AS425" s="5"/>
      <c r="AT425" s="5"/>
      <c r="AU425" s="5"/>
    </row>
    <row r="426" ht="15.7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c r="AC426" s="5"/>
      <c r="AD426" s="5"/>
      <c r="AE426" s="5"/>
      <c r="AF426" s="5"/>
      <c r="AG426" s="5"/>
      <c r="AH426" s="5"/>
      <c r="AI426" s="5"/>
      <c r="AJ426" s="5"/>
      <c r="AK426" s="5"/>
      <c r="AL426" s="5"/>
      <c r="AM426" s="5"/>
      <c r="AN426" s="5"/>
      <c r="AO426" s="5"/>
      <c r="AP426" s="5"/>
      <c r="AQ426" s="5"/>
      <c r="AR426" s="5"/>
      <c r="AS426" s="5"/>
      <c r="AT426" s="5"/>
      <c r="AU426" s="5"/>
    </row>
    <row r="427" ht="15.7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c r="AC427" s="5"/>
      <c r="AD427" s="5"/>
      <c r="AE427" s="5"/>
      <c r="AF427" s="5"/>
      <c r="AG427" s="5"/>
      <c r="AH427" s="5"/>
      <c r="AI427" s="5"/>
      <c r="AJ427" s="5"/>
      <c r="AK427" s="5"/>
      <c r="AL427" s="5"/>
      <c r="AM427" s="5"/>
      <c r="AN427" s="5"/>
      <c r="AO427" s="5"/>
      <c r="AP427" s="5"/>
      <c r="AQ427" s="5"/>
      <c r="AR427" s="5"/>
      <c r="AS427" s="5"/>
      <c r="AT427" s="5"/>
      <c r="AU427" s="5"/>
    </row>
    <row r="428" ht="15.7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c r="AC428" s="5"/>
      <c r="AD428" s="5"/>
      <c r="AE428" s="5"/>
      <c r="AF428" s="5"/>
      <c r="AG428" s="5"/>
      <c r="AH428" s="5"/>
      <c r="AI428" s="5"/>
      <c r="AJ428" s="5"/>
      <c r="AK428" s="5"/>
      <c r="AL428" s="5"/>
      <c r="AM428" s="5"/>
      <c r="AN428" s="5"/>
      <c r="AO428" s="5"/>
      <c r="AP428" s="5"/>
      <c r="AQ428" s="5"/>
      <c r="AR428" s="5"/>
      <c r="AS428" s="5"/>
      <c r="AT428" s="5"/>
      <c r="AU428" s="5"/>
    </row>
    <row r="429" ht="15.7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c r="AC429" s="5"/>
      <c r="AD429" s="5"/>
      <c r="AE429" s="5"/>
      <c r="AF429" s="5"/>
      <c r="AG429" s="5"/>
      <c r="AH429" s="5"/>
      <c r="AI429" s="5"/>
      <c r="AJ429" s="5"/>
      <c r="AK429" s="5"/>
      <c r="AL429" s="5"/>
      <c r="AM429" s="5"/>
      <c r="AN429" s="5"/>
      <c r="AO429" s="5"/>
      <c r="AP429" s="5"/>
      <c r="AQ429" s="5"/>
      <c r="AR429" s="5"/>
      <c r="AS429" s="5"/>
      <c r="AT429" s="5"/>
      <c r="AU429" s="5"/>
    </row>
    <row r="430" ht="15.7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c r="AC430" s="5"/>
      <c r="AD430" s="5"/>
      <c r="AE430" s="5"/>
      <c r="AF430" s="5"/>
      <c r="AG430" s="5"/>
      <c r="AH430" s="5"/>
      <c r="AI430" s="5"/>
      <c r="AJ430" s="5"/>
      <c r="AK430" s="5"/>
      <c r="AL430" s="5"/>
      <c r="AM430" s="5"/>
      <c r="AN430" s="5"/>
      <c r="AO430" s="5"/>
      <c r="AP430" s="5"/>
      <c r="AQ430" s="5"/>
      <c r="AR430" s="5"/>
      <c r="AS430" s="5"/>
      <c r="AT430" s="5"/>
      <c r="AU430" s="5"/>
    </row>
    <row r="431" ht="15.7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c r="AC431" s="5"/>
      <c r="AD431" s="5"/>
      <c r="AE431" s="5"/>
      <c r="AF431" s="5"/>
      <c r="AG431" s="5"/>
      <c r="AH431" s="5"/>
      <c r="AI431" s="5"/>
      <c r="AJ431" s="5"/>
      <c r="AK431" s="5"/>
      <c r="AL431" s="5"/>
      <c r="AM431" s="5"/>
      <c r="AN431" s="5"/>
      <c r="AO431" s="5"/>
      <c r="AP431" s="5"/>
      <c r="AQ431" s="5"/>
      <c r="AR431" s="5"/>
      <c r="AS431" s="5"/>
      <c r="AT431" s="5"/>
      <c r="AU431" s="5"/>
    </row>
    <row r="432" ht="15.7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c r="AC432" s="5"/>
      <c r="AD432" s="5"/>
      <c r="AE432" s="5"/>
      <c r="AF432" s="5"/>
      <c r="AG432" s="5"/>
      <c r="AH432" s="5"/>
      <c r="AI432" s="5"/>
      <c r="AJ432" s="5"/>
      <c r="AK432" s="5"/>
      <c r="AL432" s="5"/>
      <c r="AM432" s="5"/>
      <c r="AN432" s="5"/>
      <c r="AO432" s="5"/>
      <c r="AP432" s="5"/>
      <c r="AQ432" s="5"/>
      <c r="AR432" s="5"/>
      <c r="AS432" s="5"/>
      <c r="AT432" s="5"/>
      <c r="AU432" s="5"/>
    </row>
    <row r="433" ht="15.7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c r="AC433" s="5"/>
      <c r="AD433" s="5"/>
      <c r="AE433" s="5"/>
      <c r="AF433" s="5"/>
      <c r="AG433" s="5"/>
      <c r="AH433" s="5"/>
      <c r="AI433" s="5"/>
      <c r="AJ433" s="5"/>
      <c r="AK433" s="5"/>
      <c r="AL433" s="5"/>
      <c r="AM433" s="5"/>
      <c r="AN433" s="5"/>
      <c r="AO433" s="5"/>
      <c r="AP433" s="5"/>
      <c r="AQ433" s="5"/>
      <c r="AR433" s="5"/>
      <c r="AS433" s="5"/>
      <c r="AT433" s="5"/>
      <c r="AU433" s="5"/>
    </row>
    <row r="434" ht="15.7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c r="AC434" s="5"/>
      <c r="AD434" s="5"/>
      <c r="AE434" s="5"/>
      <c r="AF434" s="5"/>
      <c r="AG434" s="5"/>
      <c r="AH434" s="5"/>
      <c r="AI434" s="5"/>
      <c r="AJ434" s="5"/>
      <c r="AK434" s="5"/>
      <c r="AL434" s="5"/>
      <c r="AM434" s="5"/>
      <c r="AN434" s="5"/>
      <c r="AO434" s="5"/>
      <c r="AP434" s="5"/>
      <c r="AQ434" s="5"/>
      <c r="AR434" s="5"/>
      <c r="AS434" s="5"/>
      <c r="AT434" s="5"/>
      <c r="AU434" s="5"/>
    </row>
    <row r="435" ht="15.7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c r="AC435" s="5"/>
      <c r="AD435" s="5"/>
      <c r="AE435" s="5"/>
      <c r="AF435" s="5"/>
      <c r="AG435" s="5"/>
      <c r="AH435" s="5"/>
      <c r="AI435" s="5"/>
      <c r="AJ435" s="5"/>
      <c r="AK435" s="5"/>
      <c r="AL435" s="5"/>
      <c r="AM435" s="5"/>
      <c r="AN435" s="5"/>
      <c r="AO435" s="5"/>
      <c r="AP435" s="5"/>
      <c r="AQ435" s="5"/>
      <c r="AR435" s="5"/>
      <c r="AS435" s="5"/>
      <c r="AT435" s="5"/>
      <c r="AU435" s="5"/>
    </row>
    <row r="436" ht="15.7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c r="AC436" s="5"/>
      <c r="AD436" s="5"/>
      <c r="AE436" s="5"/>
      <c r="AF436" s="5"/>
      <c r="AG436" s="5"/>
      <c r="AH436" s="5"/>
      <c r="AI436" s="5"/>
      <c r="AJ436" s="5"/>
      <c r="AK436" s="5"/>
      <c r="AL436" s="5"/>
      <c r="AM436" s="5"/>
      <c r="AN436" s="5"/>
      <c r="AO436" s="5"/>
      <c r="AP436" s="5"/>
      <c r="AQ436" s="5"/>
      <c r="AR436" s="5"/>
      <c r="AS436" s="5"/>
      <c r="AT436" s="5"/>
      <c r="AU436" s="5"/>
    </row>
    <row r="437" ht="15.7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c r="AC437" s="5"/>
      <c r="AD437" s="5"/>
      <c r="AE437" s="5"/>
      <c r="AF437" s="5"/>
      <c r="AG437" s="5"/>
      <c r="AH437" s="5"/>
      <c r="AI437" s="5"/>
      <c r="AJ437" s="5"/>
      <c r="AK437" s="5"/>
      <c r="AL437" s="5"/>
      <c r="AM437" s="5"/>
      <c r="AN437" s="5"/>
      <c r="AO437" s="5"/>
      <c r="AP437" s="5"/>
      <c r="AQ437" s="5"/>
      <c r="AR437" s="5"/>
      <c r="AS437" s="5"/>
      <c r="AT437" s="5"/>
      <c r="AU437" s="5"/>
    </row>
    <row r="438" ht="15.7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c r="AC438" s="5"/>
      <c r="AD438" s="5"/>
      <c r="AE438" s="5"/>
      <c r="AF438" s="5"/>
      <c r="AG438" s="5"/>
      <c r="AH438" s="5"/>
      <c r="AI438" s="5"/>
      <c r="AJ438" s="5"/>
      <c r="AK438" s="5"/>
      <c r="AL438" s="5"/>
      <c r="AM438" s="5"/>
      <c r="AN438" s="5"/>
      <c r="AO438" s="5"/>
      <c r="AP438" s="5"/>
      <c r="AQ438" s="5"/>
      <c r="AR438" s="5"/>
      <c r="AS438" s="5"/>
      <c r="AT438" s="5"/>
      <c r="AU438" s="5"/>
    </row>
    <row r="439" ht="15.7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c r="AC439" s="5"/>
      <c r="AD439" s="5"/>
      <c r="AE439" s="5"/>
      <c r="AF439" s="5"/>
      <c r="AG439" s="5"/>
      <c r="AH439" s="5"/>
      <c r="AI439" s="5"/>
      <c r="AJ439" s="5"/>
      <c r="AK439" s="5"/>
      <c r="AL439" s="5"/>
      <c r="AM439" s="5"/>
      <c r="AN439" s="5"/>
      <c r="AO439" s="5"/>
      <c r="AP439" s="5"/>
      <c r="AQ439" s="5"/>
      <c r="AR439" s="5"/>
      <c r="AS439" s="5"/>
      <c r="AT439" s="5"/>
      <c r="AU439" s="5"/>
    </row>
    <row r="440" ht="15.7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c r="AC440" s="5"/>
      <c r="AD440" s="5"/>
      <c r="AE440" s="5"/>
      <c r="AF440" s="5"/>
      <c r="AG440" s="5"/>
      <c r="AH440" s="5"/>
      <c r="AI440" s="5"/>
      <c r="AJ440" s="5"/>
      <c r="AK440" s="5"/>
      <c r="AL440" s="5"/>
      <c r="AM440" s="5"/>
      <c r="AN440" s="5"/>
      <c r="AO440" s="5"/>
      <c r="AP440" s="5"/>
      <c r="AQ440" s="5"/>
      <c r="AR440" s="5"/>
      <c r="AS440" s="5"/>
      <c r="AT440" s="5"/>
      <c r="AU440" s="5"/>
    </row>
    <row r="441" ht="15.7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c r="AC441" s="5"/>
      <c r="AD441" s="5"/>
      <c r="AE441" s="5"/>
      <c r="AF441" s="5"/>
      <c r="AG441" s="5"/>
      <c r="AH441" s="5"/>
      <c r="AI441" s="5"/>
      <c r="AJ441" s="5"/>
      <c r="AK441" s="5"/>
      <c r="AL441" s="5"/>
      <c r="AM441" s="5"/>
      <c r="AN441" s="5"/>
      <c r="AO441" s="5"/>
      <c r="AP441" s="5"/>
      <c r="AQ441" s="5"/>
      <c r="AR441" s="5"/>
      <c r="AS441" s="5"/>
      <c r="AT441" s="5"/>
      <c r="AU441" s="5"/>
    </row>
    <row r="442" ht="15.7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c r="AC442" s="5"/>
      <c r="AD442" s="5"/>
      <c r="AE442" s="5"/>
      <c r="AF442" s="5"/>
      <c r="AG442" s="5"/>
      <c r="AH442" s="5"/>
      <c r="AI442" s="5"/>
      <c r="AJ442" s="5"/>
      <c r="AK442" s="5"/>
      <c r="AL442" s="5"/>
      <c r="AM442" s="5"/>
      <c r="AN442" s="5"/>
      <c r="AO442" s="5"/>
      <c r="AP442" s="5"/>
      <c r="AQ442" s="5"/>
      <c r="AR442" s="5"/>
      <c r="AS442" s="5"/>
      <c r="AT442" s="5"/>
      <c r="AU442" s="5"/>
    </row>
    <row r="443" ht="15.7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c r="AC443" s="5"/>
      <c r="AD443" s="5"/>
      <c r="AE443" s="5"/>
      <c r="AF443" s="5"/>
      <c r="AG443" s="5"/>
      <c r="AH443" s="5"/>
      <c r="AI443" s="5"/>
      <c r="AJ443" s="5"/>
      <c r="AK443" s="5"/>
      <c r="AL443" s="5"/>
      <c r="AM443" s="5"/>
      <c r="AN443" s="5"/>
      <c r="AO443" s="5"/>
      <c r="AP443" s="5"/>
      <c r="AQ443" s="5"/>
      <c r="AR443" s="5"/>
      <c r="AS443" s="5"/>
      <c r="AT443" s="5"/>
      <c r="AU443" s="5"/>
    </row>
    <row r="444" ht="15.7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c r="AC444" s="5"/>
      <c r="AD444" s="5"/>
      <c r="AE444" s="5"/>
      <c r="AF444" s="5"/>
      <c r="AG444" s="5"/>
      <c r="AH444" s="5"/>
      <c r="AI444" s="5"/>
      <c r="AJ444" s="5"/>
      <c r="AK444" s="5"/>
      <c r="AL444" s="5"/>
      <c r="AM444" s="5"/>
      <c r="AN444" s="5"/>
      <c r="AO444" s="5"/>
      <c r="AP444" s="5"/>
      <c r="AQ444" s="5"/>
      <c r="AR444" s="5"/>
      <c r="AS444" s="5"/>
      <c r="AT444" s="5"/>
      <c r="AU444" s="5"/>
    </row>
    <row r="445" ht="15.7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c r="AC445" s="5"/>
      <c r="AD445" s="5"/>
      <c r="AE445" s="5"/>
      <c r="AF445" s="5"/>
      <c r="AG445" s="5"/>
      <c r="AH445" s="5"/>
      <c r="AI445" s="5"/>
      <c r="AJ445" s="5"/>
      <c r="AK445" s="5"/>
      <c r="AL445" s="5"/>
      <c r="AM445" s="5"/>
      <c r="AN445" s="5"/>
      <c r="AO445" s="5"/>
      <c r="AP445" s="5"/>
      <c r="AQ445" s="5"/>
      <c r="AR445" s="5"/>
      <c r="AS445" s="5"/>
      <c r="AT445" s="5"/>
      <c r="AU445" s="5"/>
    </row>
    <row r="446" ht="15.7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c r="AC446" s="5"/>
      <c r="AD446" s="5"/>
      <c r="AE446" s="5"/>
      <c r="AF446" s="5"/>
      <c r="AG446" s="5"/>
      <c r="AH446" s="5"/>
      <c r="AI446" s="5"/>
      <c r="AJ446" s="5"/>
      <c r="AK446" s="5"/>
      <c r="AL446" s="5"/>
      <c r="AM446" s="5"/>
      <c r="AN446" s="5"/>
      <c r="AO446" s="5"/>
      <c r="AP446" s="5"/>
      <c r="AQ446" s="5"/>
      <c r="AR446" s="5"/>
      <c r="AS446" s="5"/>
      <c r="AT446" s="5"/>
      <c r="AU446" s="5"/>
    </row>
    <row r="447" ht="15.7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c r="AC447" s="5"/>
      <c r="AD447" s="5"/>
      <c r="AE447" s="5"/>
      <c r="AF447" s="5"/>
      <c r="AG447" s="5"/>
      <c r="AH447" s="5"/>
      <c r="AI447" s="5"/>
      <c r="AJ447" s="5"/>
      <c r="AK447" s="5"/>
      <c r="AL447" s="5"/>
      <c r="AM447" s="5"/>
      <c r="AN447" s="5"/>
      <c r="AO447" s="5"/>
      <c r="AP447" s="5"/>
      <c r="AQ447" s="5"/>
      <c r="AR447" s="5"/>
      <c r="AS447" s="5"/>
      <c r="AT447" s="5"/>
      <c r="AU447" s="5"/>
    </row>
    <row r="448" ht="15.7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c r="AC448" s="5"/>
      <c r="AD448" s="5"/>
      <c r="AE448" s="5"/>
      <c r="AF448" s="5"/>
      <c r="AG448" s="5"/>
      <c r="AH448" s="5"/>
      <c r="AI448" s="5"/>
      <c r="AJ448" s="5"/>
      <c r="AK448" s="5"/>
      <c r="AL448" s="5"/>
      <c r="AM448" s="5"/>
      <c r="AN448" s="5"/>
      <c r="AO448" s="5"/>
      <c r="AP448" s="5"/>
      <c r="AQ448" s="5"/>
      <c r="AR448" s="5"/>
      <c r="AS448" s="5"/>
      <c r="AT448" s="5"/>
      <c r="AU448" s="5"/>
    </row>
    <row r="449" ht="15.7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c r="AC449" s="5"/>
      <c r="AD449" s="5"/>
      <c r="AE449" s="5"/>
      <c r="AF449" s="5"/>
      <c r="AG449" s="5"/>
      <c r="AH449" s="5"/>
      <c r="AI449" s="5"/>
      <c r="AJ449" s="5"/>
      <c r="AK449" s="5"/>
      <c r="AL449" s="5"/>
      <c r="AM449" s="5"/>
      <c r="AN449" s="5"/>
      <c r="AO449" s="5"/>
      <c r="AP449" s="5"/>
      <c r="AQ449" s="5"/>
      <c r="AR449" s="5"/>
      <c r="AS449" s="5"/>
      <c r="AT449" s="5"/>
      <c r="AU449" s="5"/>
    </row>
    <row r="450" ht="15.7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c r="AC450" s="5"/>
      <c r="AD450" s="5"/>
      <c r="AE450" s="5"/>
      <c r="AF450" s="5"/>
      <c r="AG450" s="5"/>
      <c r="AH450" s="5"/>
      <c r="AI450" s="5"/>
      <c r="AJ450" s="5"/>
      <c r="AK450" s="5"/>
      <c r="AL450" s="5"/>
      <c r="AM450" s="5"/>
      <c r="AN450" s="5"/>
      <c r="AO450" s="5"/>
      <c r="AP450" s="5"/>
      <c r="AQ450" s="5"/>
      <c r="AR450" s="5"/>
      <c r="AS450" s="5"/>
      <c r="AT450" s="5"/>
      <c r="AU450" s="5"/>
    </row>
    <row r="451" ht="15.7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c r="AC451" s="5"/>
      <c r="AD451" s="5"/>
      <c r="AE451" s="5"/>
      <c r="AF451" s="5"/>
      <c r="AG451" s="5"/>
      <c r="AH451" s="5"/>
      <c r="AI451" s="5"/>
      <c r="AJ451" s="5"/>
      <c r="AK451" s="5"/>
      <c r="AL451" s="5"/>
      <c r="AM451" s="5"/>
      <c r="AN451" s="5"/>
      <c r="AO451" s="5"/>
      <c r="AP451" s="5"/>
      <c r="AQ451" s="5"/>
      <c r="AR451" s="5"/>
      <c r="AS451" s="5"/>
      <c r="AT451" s="5"/>
      <c r="AU451" s="5"/>
    </row>
    <row r="452" ht="15.7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c r="AC452" s="5"/>
      <c r="AD452" s="5"/>
      <c r="AE452" s="5"/>
      <c r="AF452" s="5"/>
      <c r="AG452" s="5"/>
      <c r="AH452" s="5"/>
      <c r="AI452" s="5"/>
      <c r="AJ452" s="5"/>
      <c r="AK452" s="5"/>
      <c r="AL452" s="5"/>
      <c r="AM452" s="5"/>
      <c r="AN452" s="5"/>
      <c r="AO452" s="5"/>
      <c r="AP452" s="5"/>
      <c r="AQ452" s="5"/>
      <c r="AR452" s="5"/>
      <c r="AS452" s="5"/>
      <c r="AT452" s="5"/>
      <c r="AU452" s="5"/>
    </row>
    <row r="453" ht="15.7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c r="AC453" s="5"/>
      <c r="AD453" s="5"/>
      <c r="AE453" s="5"/>
      <c r="AF453" s="5"/>
      <c r="AG453" s="5"/>
      <c r="AH453" s="5"/>
      <c r="AI453" s="5"/>
      <c r="AJ453" s="5"/>
      <c r="AK453" s="5"/>
      <c r="AL453" s="5"/>
      <c r="AM453" s="5"/>
      <c r="AN453" s="5"/>
      <c r="AO453" s="5"/>
      <c r="AP453" s="5"/>
      <c r="AQ453" s="5"/>
      <c r="AR453" s="5"/>
      <c r="AS453" s="5"/>
      <c r="AT453" s="5"/>
      <c r="AU453" s="5"/>
    </row>
    <row r="454" ht="15.7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c r="AC454" s="5"/>
      <c r="AD454" s="5"/>
      <c r="AE454" s="5"/>
      <c r="AF454" s="5"/>
      <c r="AG454" s="5"/>
      <c r="AH454" s="5"/>
      <c r="AI454" s="5"/>
      <c r="AJ454" s="5"/>
      <c r="AK454" s="5"/>
      <c r="AL454" s="5"/>
      <c r="AM454" s="5"/>
      <c r="AN454" s="5"/>
      <c r="AO454" s="5"/>
      <c r="AP454" s="5"/>
      <c r="AQ454" s="5"/>
      <c r="AR454" s="5"/>
      <c r="AS454" s="5"/>
      <c r="AT454" s="5"/>
      <c r="AU454" s="5"/>
    </row>
    <row r="455" ht="15.7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c r="AC455" s="5"/>
      <c r="AD455" s="5"/>
      <c r="AE455" s="5"/>
      <c r="AF455" s="5"/>
      <c r="AG455" s="5"/>
      <c r="AH455" s="5"/>
      <c r="AI455" s="5"/>
      <c r="AJ455" s="5"/>
      <c r="AK455" s="5"/>
      <c r="AL455" s="5"/>
      <c r="AM455" s="5"/>
      <c r="AN455" s="5"/>
      <c r="AO455" s="5"/>
      <c r="AP455" s="5"/>
      <c r="AQ455" s="5"/>
      <c r="AR455" s="5"/>
      <c r="AS455" s="5"/>
      <c r="AT455" s="5"/>
      <c r="AU455" s="5"/>
    </row>
    <row r="456" ht="15.7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c r="AC456" s="5"/>
      <c r="AD456" s="5"/>
      <c r="AE456" s="5"/>
      <c r="AF456" s="5"/>
      <c r="AG456" s="5"/>
      <c r="AH456" s="5"/>
      <c r="AI456" s="5"/>
      <c r="AJ456" s="5"/>
      <c r="AK456" s="5"/>
      <c r="AL456" s="5"/>
      <c r="AM456" s="5"/>
      <c r="AN456" s="5"/>
      <c r="AO456" s="5"/>
      <c r="AP456" s="5"/>
      <c r="AQ456" s="5"/>
      <c r="AR456" s="5"/>
      <c r="AS456" s="5"/>
      <c r="AT456" s="5"/>
      <c r="AU456" s="5"/>
    </row>
    <row r="457" ht="15.7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c r="AC457" s="5"/>
      <c r="AD457" s="5"/>
      <c r="AE457" s="5"/>
      <c r="AF457" s="5"/>
      <c r="AG457" s="5"/>
      <c r="AH457" s="5"/>
      <c r="AI457" s="5"/>
      <c r="AJ457" s="5"/>
      <c r="AK457" s="5"/>
      <c r="AL457" s="5"/>
      <c r="AM457" s="5"/>
      <c r="AN457" s="5"/>
      <c r="AO457" s="5"/>
      <c r="AP457" s="5"/>
      <c r="AQ457" s="5"/>
      <c r="AR457" s="5"/>
      <c r="AS457" s="5"/>
      <c r="AT457" s="5"/>
      <c r="AU457" s="5"/>
    </row>
    <row r="458" ht="15.7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c r="AC458" s="5"/>
      <c r="AD458" s="5"/>
      <c r="AE458" s="5"/>
      <c r="AF458" s="5"/>
      <c r="AG458" s="5"/>
      <c r="AH458" s="5"/>
      <c r="AI458" s="5"/>
      <c r="AJ458" s="5"/>
      <c r="AK458" s="5"/>
      <c r="AL458" s="5"/>
      <c r="AM458" s="5"/>
      <c r="AN458" s="5"/>
      <c r="AO458" s="5"/>
      <c r="AP458" s="5"/>
      <c r="AQ458" s="5"/>
      <c r="AR458" s="5"/>
      <c r="AS458" s="5"/>
      <c r="AT458" s="5"/>
      <c r="AU458" s="5"/>
    </row>
    <row r="459" ht="15.7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c r="AC459" s="5"/>
      <c r="AD459" s="5"/>
      <c r="AE459" s="5"/>
      <c r="AF459" s="5"/>
      <c r="AG459" s="5"/>
      <c r="AH459" s="5"/>
      <c r="AI459" s="5"/>
      <c r="AJ459" s="5"/>
      <c r="AK459" s="5"/>
      <c r="AL459" s="5"/>
      <c r="AM459" s="5"/>
      <c r="AN459" s="5"/>
      <c r="AO459" s="5"/>
      <c r="AP459" s="5"/>
      <c r="AQ459" s="5"/>
      <c r="AR459" s="5"/>
      <c r="AS459" s="5"/>
      <c r="AT459" s="5"/>
      <c r="AU459" s="5"/>
    </row>
    <row r="460" ht="15.7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c r="AC460" s="5"/>
      <c r="AD460" s="5"/>
      <c r="AE460" s="5"/>
      <c r="AF460" s="5"/>
      <c r="AG460" s="5"/>
      <c r="AH460" s="5"/>
      <c r="AI460" s="5"/>
      <c r="AJ460" s="5"/>
      <c r="AK460" s="5"/>
      <c r="AL460" s="5"/>
      <c r="AM460" s="5"/>
      <c r="AN460" s="5"/>
      <c r="AO460" s="5"/>
      <c r="AP460" s="5"/>
      <c r="AQ460" s="5"/>
      <c r="AR460" s="5"/>
      <c r="AS460" s="5"/>
      <c r="AT460" s="5"/>
      <c r="AU460" s="5"/>
    </row>
    <row r="461" ht="15.7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c r="AC461" s="5"/>
      <c r="AD461" s="5"/>
      <c r="AE461" s="5"/>
      <c r="AF461" s="5"/>
      <c r="AG461" s="5"/>
      <c r="AH461" s="5"/>
      <c r="AI461" s="5"/>
      <c r="AJ461" s="5"/>
      <c r="AK461" s="5"/>
      <c r="AL461" s="5"/>
      <c r="AM461" s="5"/>
      <c r="AN461" s="5"/>
      <c r="AO461" s="5"/>
      <c r="AP461" s="5"/>
      <c r="AQ461" s="5"/>
      <c r="AR461" s="5"/>
      <c r="AS461" s="5"/>
      <c r="AT461" s="5"/>
      <c r="AU461" s="5"/>
    </row>
    <row r="462" ht="15.7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c r="AC462" s="5"/>
      <c r="AD462" s="5"/>
      <c r="AE462" s="5"/>
      <c r="AF462" s="5"/>
      <c r="AG462" s="5"/>
      <c r="AH462" s="5"/>
      <c r="AI462" s="5"/>
      <c r="AJ462" s="5"/>
      <c r="AK462" s="5"/>
      <c r="AL462" s="5"/>
      <c r="AM462" s="5"/>
      <c r="AN462" s="5"/>
      <c r="AO462" s="5"/>
      <c r="AP462" s="5"/>
      <c r="AQ462" s="5"/>
      <c r="AR462" s="5"/>
      <c r="AS462" s="5"/>
      <c r="AT462" s="5"/>
      <c r="AU462" s="5"/>
    </row>
    <row r="463" ht="15.7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c r="AC463" s="5"/>
      <c r="AD463" s="5"/>
      <c r="AE463" s="5"/>
      <c r="AF463" s="5"/>
      <c r="AG463" s="5"/>
      <c r="AH463" s="5"/>
      <c r="AI463" s="5"/>
      <c r="AJ463" s="5"/>
      <c r="AK463" s="5"/>
      <c r="AL463" s="5"/>
      <c r="AM463" s="5"/>
      <c r="AN463" s="5"/>
      <c r="AO463" s="5"/>
      <c r="AP463" s="5"/>
      <c r="AQ463" s="5"/>
      <c r="AR463" s="5"/>
      <c r="AS463" s="5"/>
      <c r="AT463" s="5"/>
      <c r="AU463" s="5"/>
    </row>
    <row r="464" ht="15.7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c r="AC464" s="5"/>
      <c r="AD464" s="5"/>
      <c r="AE464" s="5"/>
      <c r="AF464" s="5"/>
      <c r="AG464" s="5"/>
      <c r="AH464" s="5"/>
      <c r="AI464" s="5"/>
      <c r="AJ464" s="5"/>
      <c r="AK464" s="5"/>
      <c r="AL464" s="5"/>
      <c r="AM464" s="5"/>
      <c r="AN464" s="5"/>
      <c r="AO464" s="5"/>
      <c r="AP464" s="5"/>
      <c r="AQ464" s="5"/>
      <c r="AR464" s="5"/>
      <c r="AS464" s="5"/>
      <c r="AT464" s="5"/>
      <c r="AU464" s="5"/>
    </row>
    <row r="465" ht="15.7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c r="AC465" s="5"/>
      <c r="AD465" s="5"/>
      <c r="AE465" s="5"/>
      <c r="AF465" s="5"/>
      <c r="AG465" s="5"/>
      <c r="AH465" s="5"/>
      <c r="AI465" s="5"/>
      <c r="AJ465" s="5"/>
      <c r="AK465" s="5"/>
      <c r="AL465" s="5"/>
      <c r="AM465" s="5"/>
      <c r="AN465" s="5"/>
      <c r="AO465" s="5"/>
      <c r="AP465" s="5"/>
      <c r="AQ465" s="5"/>
      <c r="AR465" s="5"/>
      <c r="AS465" s="5"/>
      <c r="AT465" s="5"/>
      <c r="AU465" s="5"/>
    </row>
    <row r="466" ht="15.7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c r="AC466" s="5"/>
      <c r="AD466" s="5"/>
      <c r="AE466" s="5"/>
      <c r="AF466" s="5"/>
      <c r="AG466" s="5"/>
      <c r="AH466" s="5"/>
      <c r="AI466" s="5"/>
      <c r="AJ466" s="5"/>
      <c r="AK466" s="5"/>
      <c r="AL466" s="5"/>
      <c r="AM466" s="5"/>
      <c r="AN466" s="5"/>
      <c r="AO466" s="5"/>
      <c r="AP466" s="5"/>
      <c r="AQ466" s="5"/>
      <c r="AR466" s="5"/>
      <c r="AS466" s="5"/>
      <c r="AT466" s="5"/>
      <c r="AU466" s="5"/>
    </row>
    <row r="467" ht="15.7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c r="AC467" s="5"/>
      <c r="AD467" s="5"/>
      <c r="AE467" s="5"/>
      <c r="AF467" s="5"/>
      <c r="AG467" s="5"/>
      <c r="AH467" s="5"/>
      <c r="AI467" s="5"/>
      <c r="AJ467" s="5"/>
      <c r="AK467" s="5"/>
      <c r="AL467" s="5"/>
      <c r="AM467" s="5"/>
      <c r="AN467" s="5"/>
      <c r="AO467" s="5"/>
      <c r="AP467" s="5"/>
      <c r="AQ467" s="5"/>
      <c r="AR467" s="5"/>
      <c r="AS467" s="5"/>
      <c r="AT467" s="5"/>
      <c r="AU467" s="5"/>
    </row>
    <row r="468" ht="15.7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c r="AC468" s="5"/>
      <c r="AD468" s="5"/>
      <c r="AE468" s="5"/>
      <c r="AF468" s="5"/>
      <c r="AG468" s="5"/>
      <c r="AH468" s="5"/>
      <c r="AI468" s="5"/>
      <c r="AJ468" s="5"/>
      <c r="AK468" s="5"/>
      <c r="AL468" s="5"/>
      <c r="AM468" s="5"/>
      <c r="AN468" s="5"/>
      <c r="AO468" s="5"/>
      <c r="AP468" s="5"/>
      <c r="AQ468" s="5"/>
      <c r="AR468" s="5"/>
      <c r="AS468" s="5"/>
      <c r="AT468" s="5"/>
      <c r="AU468" s="5"/>
    </row>
    <row r="469" ht="15.7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c r="AC469" s="5"/>
      <c r="AD469" s="5"/>
      <c r="AE469" s="5"/>
      <c r="AF469" s="5"/>
      <c r="AG469" s="5"/>
      <c r="AH469" s="5"/>
      <c r="AI469" s="5"/>
      <c r="AJ469" s="5"/>
      <c r="AK469" s="5"/>
      <c r="AL469" s="5"/>
      <c r="AM469" s="5"/>
      <c r="AN469" s="5"/>
      <c r="AO469" s="5"/>
      <c r="AP469" s="5"/>
      <c r="AQ469" s="5"/>
      <c r="AR469" s="5"/>
      <c r="AS469" s="5"/>
      <c r="AT469" s="5"/>
      <c r="AU469" s="5"/>
    </row>
    <row r="470" ht="15.7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c r="AC470" s="5"/>
      <c r="AD470" s="5"/>
      <c r="AE470" s="5"/>
      <c r="AF470" s="5"/>
      <c r="AG470" s="5"/>
      <c r="AH470" s="5"/>
      <c r="AI470" s="5"/>
      <c r="AJ470" s="5"/>
      <c r="AK470" s="5"/>
      <c r="AL470" s="5"/>
      <c r="AM470" s="5"/>
      <c r="AN470" s="5"/>
      <c r="AO470" s="5"/>
      <c r="AP470" s="5"/>
      <c r="AQ470" s="5"/>
      <c r="AR470" s="5"/>
      <c r="AS470" s="5"/>
      <c r="AT470" s="5"/>
      <c r="AU470" s="5"/>
    </row>
    <row r="471" ht="15.7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c r="AC471" s="5"/>
      <c r="AD471" s="5"/>
      <c r="AE471" s="5"/>
      <c r="AF471" s="5"/>
      <c r="AG471" s="5"/>
      <c r="AH471" s="5"/>
      <c r="AI471" s="5"/>
      <c r="AJ471" s="5"/>
      <c r="AK471" s="5"/>
      <c r="AL471" s="5"/>
      <c r="AM471" s="5"/>
      <c r="AN471" s="5"/>
      <c r="AO471" s="5"/>
      <c r="AP471" s="5"/>
      <c r="AQ471" s="5"/>
      <c r="AR471" s="5"/>
      <c r="AS471" s="5"/>
      <c r="AT471" s="5"/>
      <c r="AU471" s="5"/>
    </row>
    <row r="472" ht="15.7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c r="AC472" s="5"/>
      <c r="AD472" s="5"/>
      <c r="AE472" s="5"/>
      <c r="AF472" s="5"/>
      <c r="AG472" s="5"/>
      <c r="AH472" s="5"/>
      <c r="AI472" s="5"/>
      <c r="AJ472" s="5"/>
      <c r="AK472" s="5"/>
      <c r="AL472" s="5"/>
      <c r="AM472" s="5"/>
      <c r="AN472" s="5"/>
      <c r="AO472" s="5"/>
      <c r="AP472" s="5"/>
      <c r="AQ472" s="5"/>
      <c r="AR472" s="5"/>
      <c r="AS472" s="5"/>
      <c r="AT472" s="5"/>
      <c r="AU472" s="5"/>
    </row>
    <row r="473" ht="15.7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c r="AC473" s="5"/>
      <c r="AD473" s="5"/>
      <c r="AE473" s="5"/>
      <c r="AF473" s="5"/>
      <c r="AG473" s="5"/>
      <c r="AH473" s="5"/>
      <c r="AI473" s="5"/>
      <c r="AJ473" s="5"/>
      <c r="AK473" s="5"/>
      <c r="AL473" s="5"/>
      <c r="AM473" s="5"/>
      <c r="AN473" s="5"/>
      <c r="AO473" s="5"/>
      <c r="AP473" s="5"/>
      <c r="AQ473" s="5"/>
      <c r="AR473" s="5"/>
      <c r="AS473" s="5"/>
      <c r="AT473" s="5"/>
      <c r="AU473" s="5"/>
    </row>
    <row r="474" ht="15.7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c r="AC474" s="5"/>
      <c r="AD474" s="5"/>
      <c r="AE474" s="5"/>
      <c r="AF474" s="5"/>
      <c r="AG474" s="5"/>
      <c r="AH474" s="5"/>
      <c r="AI474" s="5"/>
      <c r="AJ474" s="5"/>
      <c r="AK474" s="5"/>
      <c r="AL474" s="5"/>
      <c r="AM474" s="5"/>
      <c r="AN474" s="5"/>
      <c r="AO474" s="5"/>
      <c r="AP474" s="5"/>
      <c r="AQ474" s="5"/>
      <c r="AR474" s="5"/>
      <c r="AS474" s="5"/>
      <c r="AT474" s="5"/>
      <c r="AU474" s="5"/>
    </row>
    <row r="475" ht="15.7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c r="AC475" s="5"/>
      <c r="AD475" s="5"/>
      <c r="AE475" s="5"/>
      <c r="AF475" s="5"/>
      <c r="AG475" s="5"/>
      <c r="AH475" s="5"/>
      <c r="AI475" s="5"/>
      <c r="AJ475" s="5"/>
      <c r="AK475" s="5"/>
      <c r="AL475" s="5"/>
      <c r="AM475" s="5"/>
      <c r="AN475" s="5"/>
      <c r="AO475" s="5"/>
      <c r="AP475" s="5"/>
      <c r="AQ475" s="5"/>
      <c r="AR475" s="5"/>
      <c r="AS475" s="5"/>
      <c r="AT475" s="5"/>
      <c r="AU475" s="5"/>
    </row>
    <row r="476" ht="15.7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c r="AC476" s="5"/>
      <c r="AD476" s="5"/>
      <c r="AE476" s="5"/>
      <c r="AF476" s="5"/>
      <c r="AG476" s="5"/>
      <c r="AH476" s="5"/>
      <c r="AI476" s="5"/>
      <c r="AJ476" s="5"/>
      <c r="AK476" s="5"/>
      <c r="AL476" s="5"/>
      <c r="AM476" s="5"/>
      <c r="AN476" s="5"/>
      <c r="AO476" s="5"/>
      <c r="AP476" s="5"/>
      <c r="AQ476" s="5"/>
      <c r="AR476" s="5"/>
      <c r="AS476" s="5"/>
      <c r="AT476" s="5"/>
      <c r="AU476" s="5"/>
    </row>
    <row r="477" ht="15.7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c r="AC477" s="5"/>
      <c r="AD477" s="5"/>
      <c r="AE477" s="5"/>
      <c r="AF477" s="5"/>
      <c r="AG477" s="5"/>
      <c r="AH477" s="5"/>
      <c r="AI477" s="5"/>
      <c r="AJ477" s="5"/>
      <c r="AK477" s="5"/>
      <c r="AL477" s="5"/>
      <c r="AM477" s="5"/>
      <c r="AN477" s="5"/>
      <c r="AO477" s="5"/>
      <c r="AP477" s="5"/>
      <c r="AQ477" s="5"/>
      <c r="AR477" s="5"/>
      <c r="AS477" s="5"/>
      <c r="AT477" s="5"/>
      <c r="AU477" s="5"/>
    </row>
    <row r="478" ht="15.7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c r="AC478" s="5"/>
      <c r="AD478" s="5"/>
      <c r="AE478" s="5"/>
      <c r="AF478" s="5"/>
      <c r="AG478" s="5"/>
      <c r="AH478" s="5"/>
      <c r="AI478" s="5"/>
      <c r="AJ478" s="5"/>
      <c r="AK478" s="5"/>
      <c r="AL478" s="5"/>
      <c r="AM478" s="5"/>
      <c r="AN478" s="5"/>
      <c r="AO478" s="5"/>
      <c r="AP478" s="5"/>
      <c r="AQ478" s="5"/>
      <c r="AR478" s="5"/>
      <c r="AS478" s="5"/>
      <c r="AT478" s="5"/>
      <c r="AU478" s="5"/>
    </row>
    <row r="479" ht="15.7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c r="AC479" s="5"/>
      <c r="AD479" s="5"/>
      <c r="AE479" s="5"/>
      <c r="AF479" s="5"/>
      <c r="AG479" s="5"/>
      <c r="AH479" s="5"/>
      <c r="AI479" s="5"/>
      <c r="AJ479" s="5"/>
      <c r="AK479" s="5"/>
      <c r="AL479" s="5"/>
      <c r="AM479" s="5"/>
      <c r="AN479" s="5"/>
      <c r="AO479" s="5"/>
      <c r="AP479" s="5"/>
      <c r="AQ479" s="5"/>
      <c r="AR479" s="5"/>
      <c r="AS479" s="5"/>
      <c r="AT479" s="5"/>
      <c r="AU479" s="5"/>
    </row>
    <row r="480" ht="15.7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c r="AC480" s="5"/>
      <c r="AD480" s="5"/>
      <c r="AE480" s="5"/>
      <c r="AF480" s="5"/>
      <c r="AG480" s="5"/>
      <c r="AH480" s="5"/>
      <c r="AI480" s="5"/>
      <c r="AJ480" s="5"/>
      <c r="AK480" s="5"/>
      <c r="AL480" s="5"/>
      <c r="AM480" s="5"/>
      <c r="AN480" s="5"/>
      <c r="AO480" s="5"/>
      <c r="AP480" s="5"/>
      <c r="AQ480" s="5"/>
      <c r="AR480" s="5"/>
      <c r="AS480" s="5"/>
      <c r="AT480" s="5"/>
      <c r="AU480" s="5"/>
    </row>
    <row r="481" ht="15.7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c r="AC481" s="5"/>
      <c r="AD481" s="5"/>
      <c r="AE481" s="5"/>
      <c r="AF481" s="5"/>
      <c r="AG481" s="5"/>
      <c r="AH481" s="5"/>
      <c r="AI481" s="5"/>
      <c r="AJ481" s="5"/>
      <c r="AK481" s="5"/>
      <c r="AL481" s="5"/>
      <c r="AM481" s="5"/>
      <c r="AN481" s="5"/>
      <c r="AO481" s="5"/>
      <c r="AP481" s="5"/>
      <c r="AQ481" s="5"/>
      <c r="AR481" s="5"/>
      <c r="AS481" s="5"/>
      <c r="AT481" s="5"/>
      <c r="AU481" s="5"/>
    </row>
    <row r="482" ht="15.7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c r="AC482" s="5"/>
      <c r="AD482" s="5"/>
      <c r="AE482" s="5"/>
      <c r="AF482" s="5"/>
      <c r="AG482" s="5"/>
      <c r="AH482" s="5"/>
      <c r="AI482" s="5"/>
      <c r="AJ482" s="5"/>
      <c r="AK482" s="5"/>
      <c r="AL482" s="5"/>
      <c r="AM482" s="5"/>
      <c r="AN482" s="5"/>
      <c r="AO482" s="5"/>
      <c r="AP482" s="5"/>
      <c r="AQ482" s="5"/>
      <c r="AR482" s="5"/>
      <c r="AS482" s="5"/>
      <c r="AT482" s="5"/>
      <c r="AU482" s="5"/>
    </row>
    <row r="483" ht="15.7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c r="AC483" s="5"/>
      <c r="AD483" s="5"/>
      <c r="AE483" s="5"/>
      <c r="AF483" s="5"/>
      <c r="AG483" s="5"/>
      <c r="AH483" s="5"/>
      <c r="AI483" s="5"/>
      <c r="AJ483" s="5"/>
      <c r="AK483" s="5"/>
      <c r="AL483" s="5"/>
      <c r="AM483" s="5"/>
      <c r="AN483" s="5"/>
      <c r="AO483" s="5"/>
      <c r="AP483" s="5"/>
      <c r="AQ483" s="5"/>
      <c r="AR483" s="5"/>
      <c r="AS483" s="5"/>
      <c r="AT483" s="5"/>
      <c r="AU483" s="5"/>
    </row>
    <row r="484" ht="15.7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c r="AC484" s="5"/>
      <c r="AD484" s="5"/>
      <c r="AE484" s="5"/>
      <c r="AF484" s="5"/>
      <c r="AG484" s="5"/>
      <c r="AH484" s="5"/>
      <c r="AI484" s="5"/>
      <c r="AJ484" s="5"/>
      <c r="AK484" s="5"/>
      <c r="AL484" s="5"/>
      <c r="AM484" s="5"/>
      <c r="AN484" s="5"/>
      <c r="AO484" s="5"/>
      <c r="AP484" s="5"/>
      <c r="AQ484" s="5"/>
      <c r="AR484" s="5"/>
      <c r="AS484" s="5"/>
      <c r="AT484" s="5"/>
      <c r="AU484" s="5"/>
    </row>
    <row r="485" ht="15.7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c r="AC485" s="5"/>
      <c r="AD485" s="5"/>
      <c r="AE485" s="5"/>
      <c r="AF485" s="5"/>
      <c r="AG485" s="5"/>
      <c r="AH485" s="5"/>
      <c r="AI485" s="5"/>
      <c r="AJ485" s="5"/>
      <c r="AK485" s="5"/>
      <c r="AL485" s="5"/>
      <c r="AM485" s="5"/>
      <c r="AN485" s="5"/>
      <c r="AO485" s="5"/>
      <c r="AP485" s="5"/>
      <c r="AQ485" s="5"/>
      <c r="AR485" s="5"/>
      <c r="AS485" s="5"/>
      <c r="AT485" s="5"/>
      <c r="AU485" s="5"/>
    </row>
    <row r="486" ht="15.7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c r="AC486" s="5"/>
      <c r="AD486" s="5"/>
      <c r="AE486" s="5"/>
      <c r="AF486" s="5"/>
      <c r="AG486" s="5"/>
      <c r="AH486" s="5"/>
      <c r="AI486" s="5"/>
      <c r="AJ486" s="5"/>
      <c r="AK486" s="5"/>
      <c r="AL486" s="5"/>
      <c r="AM486" s="5"/>
      <c r="AN486" s="5"/>
      <c r="AO486" s="5"/>
      <c r="AP486" s="5"/>
      <c r="AQ486" s="5"/>
      <c r="AR486" s="5"/>
      <c r="AS486" s="5"/>
      <c r="AT486" s="5"/>
      <c r="AU486" s="5"/>
    </row>
    <row r="487" ht="15.7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c r="AC487" s="5"/>
      <c r="AD487" s="5"/>
      <c r="AE487" s="5"/>
      <c r="AF487" s="5"/>
      <c r="AG487" s="5"/>
      <c r="AH487" s="5"/>
      <c r="AI487" s="5"/>
      <c r="AJ487" s="5"/>
      <c r="AK487" s="5"/>
      <c r="AL487" s="5"/>
      <c r="AM487" s="5"/>
      <c r="AN487" s="5"/>
      <c r="AO487" s="5"/>
      <c r="AP487" s="5"/>
      <c r="AQ487" s="5"/>
      <c r="AR487" s="5"/>
      <c r="AS487" s="5"/>
      <c r="AT487" s="5"/>
      <c r="AU487" s="5"/>
    </row>
    <row r="488" ht="15.7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c r="AC488" s="5"/>
      <c r="AD488" s="5"/>
      <c r="AE488" s="5"/>
      <c r="AF488" s="5"/>
      <c r="AG488" s="5"/>
      <c r="AH488" s="5"/>
      <c r="AI488" s="5"/>
      <c r="AJ488" s="5"/>
      <c r="AK488" s="5"/>
      <c r="AL488" s="5"/>
      <c r="AM488" s="5"/>
      <c r="AN488" s="5"/>
      <c r="AO488" s="5"/>
      <c r="AP488" s="5"/>
      <c r="AQ488" s="5"/>
      <c r="AR488" s="5"/>
      <c r="AS488" s="5"/>
      <c r="AT488" s="5"/>
      <c r="AU488" s="5"/>
    </row>
    <row r="489" ht="15.7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c r="AC489" s="5"/>
      <c r="AD489" s="5"/>
      <c r="AE489" s="5"/>
      <c r="AF489" s="5"/>
      <c r="AG489" s="5"/>
      <c r="AH489" s="5"/>
      <c r="AI489" s="5"/>
      <c r="AJ489" s="5"/>
      <c r="AK489" s="5"/>
      <c r="AL489" s="5"/>
      <c r="AM489" s="5"/>
      <c r="AN489" s="5"/>
      <c r="AO489" s="5"/>
      <c r="AP489" s="5"/>
      <c r="AQ489" s="5"/>
      <c r="AR489" s="5"/>
      <c r="AS489" s="5"/>
      <c r="AT489" s="5"/>
      <c r="AU489" s="5"/>
    </row>
    <row r="490" ht="15.7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c r="AC490" s="5"/>
      <c r="AD490" s="5"/>
      <c r="AE490" s="5"/>
      <c r="AF490" s="5"/>
      <c r="AG490" s="5"/>
      <c r="AH490" s="5"/>
      <c r="AI490" s="5"/>
      <c r="AJ490" s="5"/>
      <c r="AK490" s="5"/>
      <c r="AL490" s="5"/>
      <c r="AM490" s="5"/>
      <c r="AN490" s="5"/>
      <c r="AO490" s="5"/>
      <c r="AP490" s="5"/>
      <c r="AQ490" s="5"/>
      <c r="AR490" s="5"/>
      <c r="AS490" s="5"/>
      <c r="AT490" s="5"/>
      <c r="AU490" s="5"/>
    </row>
    <row r="491" ht="15.7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c r="AC491" s="5"/>
      <c r="AD491" s="5"/>
      <c r="AE491" s="5"/>
      <c r="AF491" s="5"/>
      <c r="AG491" s="5"/>
      <c r="AH491" s="5"/>
      <c r="AI491" s="5"/>
      <c r="AJ491" s="5"/>
      <c r="AK491" s="5"/>
      <c r="AL491" s="5"/>
      <c r="AM491" s="5"/>
      <c r="AN491" s="5"/>
      <c r="AO491" s="5"/>
      <c r="AP491" s="5"/>
      <c r="AQ491" s="5"/>
      <c r="AR491" s="5"/>
      <c r="AS491" s="5"/>
      <c r="AT491" s="5"/>
      <c r="AU491" s="5"/>
    </row>
    <row r="492" ht="15.7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c r="AC492" s="5"/>
      <c r="AD492" s="5"/>
      <c r="AE492" s="5"/>
      <c r="AF492" s="5"/>
      <c r="AG492" s="5"/>
      <c r="AH492" s="5"/>
      <c r="AI492" s="5"/>
      <c r="AJ492" s="5"/>
      <c r="AK492" s="5"/>
      <c r="AL492" s="5"/>
      <c r="AM492" s="5"/>
      <c r="AN492" s="5"/>
      <c r="AO492" s="5"/>
      <c r="AP492" s="5"/>
      <c r="AQ492" s="5"/>
      <c r="AR492" s="5"/>
      <c r="AS492" s="5"/>
      <c r="AT492" s="5"/>
      <c r="AU492" s="5"/>
    </row>
    <row r="493" ht="15.7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c r="AC493" s="5"/>
      <c r="AD493" s="5"/>
      <c r="AE493" s="5"/>
      <c r="AF493" s="5"/>
      <c r="AG493" s="5"/>
      <c r="AH493" s="5"/>
      <c r="AI493" s="5"/>
      <c r="AJ493" s="5"/>
      <c r="AK493" s="5"/>
      <c r="AL493" s="5"/>
      <c r="AM493" s="5"/>
      <c r="AN493" s="5"/>
      <c r="AO493" s="5"/>
      <c r="AP493" s="5"/>
      <c r="AQ493" s="5"/>
      <c r="AR493" s="5"/>
      <c r="AS493" s="5"/>
      <c r="AT493" s="5"/>
      <c r="AU493" s="5"/>
    </row>
    <row r="494" ht="15.7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c r="AC494" s="5"/>
      <c r="AD494" s="5"/>
      <c r="AE494" s="5"/>
      <c r="AF494" s="5"/>
      <c r="AG494" s="5"/>
      <c r="AH494" s="5"/>
      <c r="AI494" s="5"/>
      <c r="AJ494" s="5"/>
      <c r="AK494" s="5"/>
      <c r="AL494" s="5"/>
      <c r="AM494" s="5"/>
      <c r="AN494" s="5"/>
      <c r="AO494" s="5"/>
      <c r="AP494" s="5"/>
      <c r="AQ494" s="5"/>
      <c r="AR494" s="5"/>
      <c r="AS494" s="5"/>
      <c r="AT494" s="5"/>
      <c r="AU494" s="5"/>
    </row>
    <row r="495" ht="15.7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c r="AC495" s="5"/>
      <c r="AD495" s="5"/>
      <c r="AE495" s="5"/>
      <c r="AF495" s="5"/>
      <c r="AG495" s="5"/>
      <c r="AH495" s="5"/>
      <c r="AI495" s="5"/>
      <c r="AJ495" s="5"/>
      <c r="AK495" s="5"/>
      <c r="AL495" s="5"/>
      <c r="AM495" s="5"/>
      <c r="AN495" s="5"/>
      <c r="AO495" s="5"/>
      <c r="AP495" s="5"/>
      <c r="AQ495" s="5"/>
      <c r="AR495" s="5"/>
      <c r="AS495" s="5"/>
      <c r="AT495" s="5"/>
      <c r="AU495" s="5"/>
    </row>
    <row r="496" ht="15.7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c r="AC496" s="5"/>
      <c r="AD496" s="5"/>
      <c r="AE496" s="5"/>
      <c r="AF496" s="5"/>
      <c r="AG496" s="5"/>
      <c r="AH496" s="5"/>
      <c r="AI496" s="5"/>
      <c r="AJ496" s="5"/>
      <c r="AK496" s="5"/>
      <c r="AL496" s="5"/>
      <c r="AM496" s="5"/>
      <c r="AN496" s="5"/>
      <c r="AO496" s="5"/>
      <c r="AP496" s="5"/>
      <c r="AQ496" s="5"/>
      <c r="AR496" s="5"/>
      <c r="AS496" s="5"/>
      <c r="AT496" s="5"/>
      <c r="AU496" s="5"/>
    </row>
    <row r="497" ht="15.7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c r="AC497" s="5"/>
      <c r="AD497" s="5"/>
      <c r="AE497" s="5"/>
      <c r="AF497" s="5"/>
      <c r="AG497" s="5"/>
      <c r="AH497" s="5"/>
      <c r="AI497" s="5"/>
      <c r="AJ497" s="5"/>
      <c r="AK497" s="5"/>
      <c r="AL497" s="5"/>
      <c r="AM497" s="5"/>
      <c r="AN497" s="5"/>
      <c r="AO497" s="5"/>
      <c r="AP497" s="5"/>
      <c r="AQ497" s="5"/>
      <c r="AR497" s="5"/>
      <c r="AS497" s="5"/>
      <c r="AT497" s="5"/>
      <c r="AU497" s="5"/>
    </row>
    <row r="498" ht="15.7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c r="AC498" s="5"/>
      <c r="AD498" s="5"/>
      <c r="AE498" s="5"/>
      <c r="AF498" s="5"/>
      <c r="AG498" s="5"/>
      <c r="AH498" s="5"/>
      <c r="AI498" s="5"/>
      <c r="AJ498" s="5"/>
      <c r="AK498" s="5"/>
      <c r="AL498" s="5"/>
      <c r="AM498" s="5"/>
      <c r="AN498" s="5"/>
      <c r="AO498" s="5"/>
      <c r="AP498" s="5"/>
      <c r="AQ498" s="5"/>
      <c r="AR498" s="5"/>
      <c r="AS498" s="5"/>
      <c r="AT498" s="5"/>
      <c r="AU498" s="5"/>
    </row>
    <row r="499" ht="15.7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c r="AC499" s="5"/>
      <c r="AD499" s="5"/>
      <c r="AE499" s="5"/>
      <c r="AF499" s="5"/>
      <c r="AG499" s="5"/>
      <c r="AH499" s="5"/>
      <c r="AI499" s="5"/>
      <c r="AJ499" s="5"/>
      <c r="AK499" s="5"/>
      <c r="AL499" s="5"/>
      <c r="AM499" s="5"/>
      <c r="AN499" s="5"/>
      <c r="AO499" s="5"/>
      <c r="AP499" s="5"/>
      <c r="AQ499" s="5"/>
      <c r="AR499" s="5"/>
      <c r="AS499" s="5"/>
      <c r="AT499" s="5"/>
      <c r="AU499" s="5"/>
    </row>
    <row r="500" ht="15.7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c r="AC500" s="5"/>
      <c r="AD500" s="5"/>
      <c r="AE500" s="5"/>
      <c r="AF500" s="5"/>
      <c r="AG500" s="5"/>
      <c r="AH500" s="5"/>
      <c r="AI500" s="5"/>
      <c r="AJ500" s="5"/>
      <c r="AK500" s="5"/>
      <c r="AL500" s="5"/>
      <c r="AM500" s="5"/>
      <c r="AN500" s="5"/>
      <c r="AO500" s="5"/>
      <c r="AP500" s="5"/>
      <c r="AQ500" s="5"/>
      <c r="AR500" s="5"/>
      <c r="AS500" s="5"/>
      <c r="AT500" s="5"/>
      <c r="AU500" s="5"/>
    </row>
    <row r="501" ht="15.7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c r="AC501" s="5"/>
      <c r="AD501" s="5"/>
      <c r="AE501" s="5"/>
      <c r="AF501" s="5"/>
      <c r="AG501" s="5"/>
      <c r="AH501" s="5"/>
      <c r="AI501" s="5"/>
      <c r="AJ501" s="5"/>
      <c r="AK501" s="5"/>
      <c r="AL501" s="5"/>
      <c r="AM501" s="5"/>
      <c r="AN501" s="5"/>
      <c r="AO501" s="5"/>
      <c r="AP501" s="5"/>
      <c r="AQ501" s="5"/>
      <c r="AR501" s="5"/>
      <c r="AS501" s="5"/>
      <c r="AT501" s="5"/>
      <c r="AU501" s="5"/>
    </row>
    <row r="502" ht="15.7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c r="AC502" s="5"/>
      <c r="AD502" s="5"/>
      <c r="AE502" s="5"/>
      <c r="AF502" s="5"/>
      <c r="AG502" s="5"/>
      <c r="AH502" s="5"/>
      <c r="AI502" s="5"/>
      <c r="AJ502" s="5"/>
      <c r="AK502" s="5"/>
      <c r="AL502" s="5"/>
      <c r="AM502" s="5"/>
      <c r="AN502" s="5"/>
      <c r="AO502" s="5"/>
      <c r="AP502" s="5"/>
      <c r="AQ502" s="5"/>
      <c r="AR502" s="5"/>
      <c r="AS502" s="5"/>
      <c r="AT502" s="5"/>
      <c r="AU502" s="5"/>
    </row>
    <row r="503" ht="15.7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c r="AC503" s="5"/>
      <c r="AD503" s="5"/>
      <c r="AE503" s="5"/>
      <c r="AF503" s="5"/>
      <c r="AG503" s="5"/>
      <c r="AH503" s="5"/>
      <c r="AI503" s="5"/>
      <c r="AJ503" s="5"/>
      <c r="AK503" s="5"/>
      <c r="AL503" s="5"/>
      <c r="AM503" s="5"/>
      <c r="AN503" s="5"/>
      <c r="AO503" s="5"/>
      <c r="AP503" s="5"/>
      <c r="AQ503" s="5"/>
      <c r="AR503" s="5"/>
      <c r="AS503" s="5"/>
      <c r="AT503" s="5"/>
      <c r="AU503" s="5"/>
    </row>
    <row r="504" ht="15.7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c r="AC504" s="5"/>
      <c r="AD504" s="5"/>
      <c r="AE504" s="5"/>
      <c r="AF504" s="5"/>
      <c r="AG504" s="5"/>
      <c r="AH504" s="5"/>
      <c r="AI504" s="5"/>
      <c r="AJ504" s="5"/>
      <c r="AK504" s="5"/>
      <c r="AL504" s="5"/>
      <c r="AM504" s="5"/>
      <c r="AN504" s="5"/>
      <c r="AO504" s="5"/>
      <c r="AP504" s="5"/>
      <c r="AQ504" s="5"/>
      <c r="AR504" s="5"/>
      <c r="AS504" s="5"/>
      <c r="AT504" s="5"/>
      <c r="AU504" s="5"/>
    </row>
    <row r="505" ht="15.7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c r="AC505" s="5"/>
      <c r="AD505" s="5"/>
      <c r="AE505" s="5"/>
      <c r="AF505" s="5"/>
      <c r="AG505" s="5"/>
      <c r="AH505" s="5"/>
      <c r="AI505" s="5"/>
      <c r="AJ505" s="5"/>
      <c r="AK505" s="5"/>
      <c r="AL505" s="5"/>
      <c r="AM505" s="5"/>
      <c r="AN505" s="5"/>
      <c r="AO505" s="5"/>
      <c r="AP505" s="5"/>
      <c r="AQ505" s="5"/>
      <c r="AR505" s="5"/>
      <c r="AS505" s="5"/>
      <c r="AT505" s="5"/>
      <c r="AU505" s="5"/>
    </row>
    <row r="506" ht="15.7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c r="AC506" s="5"/>
      <c r="AD506" s="5"/>
      <c r="AE506" s="5"/>
      <c r="AF506" s="5"/>
      <c r="AG506" s="5"/>
      <c r="AH506" s="5"/>
      <c r="AI506" s="5"/>
      <c r="AJ506" s="5"/>
      <c r="AK506" s="5"/>
      <c r="AL506" s="5"/>
      <c r="AM506" s="5"/>
      <c r="AN506" s="5"/>
      <c r="AO506" s="5"/>
      <c r="AP506" s="5"/>
      <c r="AQ506" s="5"/>
      <c r="AR506" s="5"/>
      <c r="AS506" s="5"/>
      <c r="AT506" s="5"/>
      <c r="AU506" s="5"/>
    </row>
    <row r="507" ht="15.7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c r="AC507" s="5"/>
      <c r="AD507" s="5"/>
      <c r="AE507" s="5"/>
      <c r="AF507" s="5"/>
      <c r="AG507" s="5"/>
      <c r="AH507" s="5"/>
      <c r="AI507" s="5"/>
      <c r="AJ507" s="5"/>
      <c r="AK507" s="5"/>
      <c r="AL507" s="5"/>
      <c r="AM507" s="5"/>
      <c r="AN507" s="5"/>
      <c r="AO507" s="5"/>
      <c r="AP507" s="5"/>
      <c r="AQ507" s="5"/>
      <c r="AR507" s="5"/>
      <c r="AS507" s="5"/>
      <c r="AT507" s="5"/>
      <c r="AU507" s="5"/>
    </row>
    <row r="508" ht="15.7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c r="AC508" s="5"/>
      <c r="AD508" s="5"/>
      <c r="AE508" s="5"/>
      <c r="AF508" s="5"/>
      <c r="AG508" s="5"/>
      <c r="AH508" s="5"/>
      <c r="AI508" s="5"/>
      <c r="AJ508" s="5"/>
      <c r="AK508" s="5"/>
      <c r="AL508" s="5"/>
      <c r="AM508" s="5"/>
      <c r="AN508" s="5"/>
      <c r="AO508" s="5"/>
      <c r="AP508" s="5"/>
      <c r="AQ508" s="5"/>
      <c r="AR508" s="5"/>
      <c r="AS508" s="5"/>
      <c r="AT508" s="5"/>
      <c r="AU508" s="5"/>
    </row>
    <row r="509" ht="15.7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c r="AC509" s="5"/>
      <c r="AD509" s="5"/>
      <c r="AE509" s="5"/>
      <c r="AF509" s="5"/>
      <c r="AG509" s="5"/>
      <c r="AH509" s="5"/>
      <c r="AI509" s="5"/>
      <c r="AJ509" s="5"/>
      <c r="AK509" s="5"/>
      <c r="AL509" s="5"/>
      <c r="AM509" s="5"/>
      <c r="AN509" s="5"/>
      <c r="AO509" s="5"/>
      <c r="AP509" s="5"/>
      <c r="AQ509" s="5"/>
      <c r="AR509" s="5"/>
      <c r="AS509" s="5"/>
      <c r="AT509" s="5"/>
      <c r="AU509" s="5"/>
    </row>
    <row r="510" ht="15.7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c r="AC510" s="5"/>
      <c r="AD510" s="5"/>
      <c r="AE510" s="5"/>
      <c r="AF510" s="5"/>
      <c r="AG510" s="5"/>
      <c r="AH510" s="5"/>
      <c r="AI510" s="5"/>
      <c r="AJ510" s="5"/>
      <c r="AK510" s="5"/>
      <c r="AL510" s="5"/>
      <c r="AM510" s="5"/>
      <c r="AN510" s="5"/>
      <c r="AO510" s="5"/>
      <c r="AP510" s="5"/>
      <c r="AQ510" s="5"/>
      <c r="AR510" s="5"/>
      <c r="AS510" s="5"/>
      <c r="AT510" s="5"/>
      <c r="AU510" s="5"/>
    </row>
    <row r="511" ht="15.7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c r="AC511" s="5"/>
      <c r="AD511" s="5"/>
      <c r="AE511" s="5"/>
      <c r="AF511" s="5"/>
      <c r="AG511" s="5"/>
      <c r="AH511" s="5"/>
      <c r="AI511" s="5"/>
      <c r="AJ511" s="5"/>
      <c r="AK511" s="5"/>
      <c r="AL511" s="5"/>
      <c r="AM511" s="5"/>
      <c r="AN511" s="5"/>
      <c r="AO511" s="5"/>
      <c r="AP511" s="5"/>
      <c r="AQ511" s="5"/>
      <c r="AR511" s="5"/>
      <c r="AS511" s="5"/>
      <c r="AT511" s="5"/>
      <c r="AU511" s="5"/>
    </row>
    <row r="512" ht="15.7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c r="AC512" s="5"/>
      <c r="AD512" s="5"/>
      <c r="AE512" s="5"/>
      <c r="AF512" s="5"/>
      <c r="AG512" s="5"/>
      <c r="AH512" s="5"/>
      <c r="AI512" s="5"/>
      <c r="AJ512" s="5"/>
      <c r="AK512" s="5"/>
      <c r="AL512" s="5"/>
      <c r="AM512" s="5"/>
      <c r="AN512" s="5"/>
      <c r="AO512" s="5"/>
      <c r="AP512" s="5"/>
      <c r="AQ512" s="5"/>
      <c r="AR512" s="5"/>
      <c r="AS512" s="5"/>
      <c r="AT512" s="5"/>
      <c r="AU512" s="5"/>
    </row>
    <row r="513" ht="15.7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c r="AC513" s="5"/>
      <c r="AD513" s="5"/>
      <c r="AE513" s="5"/>
      <c r="AF513" s="5"/>
      <c r="AG513" s="5"/>
      <c r="AH513" s="5"/>
      <c r="AI513" s="5"/>
      <c r="AJ513" s="5"/>
      <c r="AK513" s="5"/>
      <c r="AL513" s="5"/>
      <c r="AM513" s="5"/>
      <c r="AN513" s="5"/>
      <c r="AO513" s="5"/>
      <c r="AP513" s="5"/>
      <c r="AQ513" s="5"/>
      <c r="AR513" s="5"/>
      <c r="AS513" s="5"/>
      <c r="AT513" s="5"/>
      <c r="AU513" s="5"/>
    </row>
    <row r="514" ht="15.7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c r="AC514" s="5"/>
      <c r="AD514" s="5"/>
      <c r="AE514" s="5"/>
      <c r="AF514" s="5"/>
      <c r="AG514" s="5"/>
      <c r="AH514" s="5"/>
      <c r="AI514" s="5"/>
      <c r="AJ514" s="5"/>
      <c r="AK514" s="5"/>
      <c r="AL514" s="5"/>
      <c r="AM514" s="5"/>
      <c r="AN514" s="5"/>
      <c r="AO514" s="5"/>
      <c r="AP514" s="5"/>
      <c r="AQ514" s="5"/>
      <c r="AR514" s="5"/>
      <c r="AS514" s="5"/>
      <c r="AT514" s="5"/>
      <c r="AU514" s="5"/>
    </row>
    <row r="515" ht="15.7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c r="AC515" s="5"/>
      <c r="AD515" s="5"/>
      <c r="AE515" s="5"/>
      <c r="AF515" s="5"/>
      <c r="AG515" s="5"/>
      <c r="AH515" s="5"/>
      <c r="AI515" s="5"/>
      <c r="AJ515" s="5"/>
      <c r="AK515" s="5"/>
      <c r="AL515" s="5"/>
      <c r="AM515" s="5"/>
      <c r="AN515" s="5"/>
      <c r="AO515" s="5"/>
      <c r="AP515" s="5"/>
      <c r="AQ515" s="5"/>
      <c r="AR515" s="5"/>
      <c r="AS515" s="5"/>
      <c r="AT515" s="5"/>
      <c r="AU515" s="5"/>
    </row>
    <row r="516" ht="15.7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c r="AC516" s="5"/>
      <c r="AD516" s="5"/>
      <c r="AE516" s="5"/>
      <c r="AF516" s="5"/>
      <c r="AG516" s="5"/>
      <c r="AH516" s="5"/>
      <c r="AI516" s="5"/>
      <c r="AJ516" s="5"/>
      <c r="AK516" s="5"/>
      <c r="AL516" s="5"/>
      <c r="AM516" s="5"/>
      <c r="AN516" s="5"/>
      <c r="AO516" s="5"/>
      <c r="AP516" s="5"/>
      <c r="AQ516" s="5"/>
      <c r="AR516" s="5"/>
      <c r="AS516" s="5"/>
      <c r="AT516" s="5"/>
      <c r="AU516" s="5"/>
    </row>
    <row r="517" ht="15.7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c r="AC517" s="5"/>
      <c r="AD517" s="5"/>
      <c r="AE517" s="5"/>
      <c r="AF517" s="5"/>
      <c r="AG517" s="5"/>
      <c r="AH517" s="5"/>
      <c r="AI517" s="5"/>
      <c r="AJ517" s="5"/>
      <c r="AK517" s="5"/>
      <c r="AL517" s="5"/>
      <c r="AM517" s="5"/>
      <c r="AN517" s="5"/>
      <c r="AO517" s="5"/>
      <c r="AP517" s="5"/>
      <c r="AQ517" s="5"/>
      <c r="AR517" s="5"/>
      <c r="AS517" s="5"/>
      <c r="AT517" s="5"/>
      <c r="AU517" s="5"/>
    </row>
    <row r="518" ht="15.7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c r="AC518" s="5"/>
      <c r="AD518" s="5"/>
      <c r="AE518" s="5"/>
      <c r="AF518" s="5"/>
      <c r="AG518" s="5"/>
      <c r="AH518" s="5"/>
      <c r="AI518" s="5"/>
      <c r="AJ518" s="5"/>
      <c r="AK518" s="5"/>
      <c r="AL518" s="5"/>
      <c r="AM518" s="5"/>
      <c r="AN518" s="5"/>
      <c r="AO518" s="5"/>
      <c r="AP518" s="5"/>
      <c r="AQ518" s="5"/>
      <c r="AR518" s="5"/>
      <c r="AS518" s="5"/>
      <c r="AT518" s="5"/>
      <c r="AU518" s="5"/>
    </row>
    <row r="519" ht="15.7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c r="AC519" s="5"/>
      <c r="AD519" s="5"/>
      <c r="AE519" s="5"/>
      <c r="AF519" s="5"/>
      <c r="AG519" s="5"/>
      <c r="AH519" s="5"/>
      <c r="AI519" s="5"/>
      <c r="AJ519" s="5"/>
      <c r="AK519" s="5"/>
      <c r="AL519" s="5"/>
      <c r="AM519" s="5"/>
      <c r="AN519" s="5"/>
      <c r="AO519" s="5"/>
      <c r="AP519" s="5"/>
      <c r="AQ519" s="5"/>
      <c r="AR519" s="5"/>
      <c r="AS519" s="5"/>
      <c r="AT519" s="5"/>
      <c r="AU519" s="5"/>
    </row>
    <row r="520" ht="15.7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c r="AC520" s="5"/>
      <c r="AD520" s="5"/>
      <c r="AE520" s="5"/>
      <c r="AF520" s="5"/>
      <c r="AG520" s="5"/>
      <c r="AH520" s="5"/>
      <c r="AI520" s="5"/>
      <c r="AJ520" s="5"/>
      <c r="AK520" s="5"/>
      <c r="AL520" s="5"/>
      <c r="AM520" s="5"/>
      <c r="AN520" s="5"/>
      <c r="AO520" s="5"/>
      <c r="AP520" s="5"/>
      <c r="AQ520" s="5"/>
      <c r="AR520" s="5"/>
      <c r="AS520" s="5"/>
      <c r="AT520" s="5"/>
      <c r="AU520" s="5"/>
    </row>
    <row r="521" ht="15.7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c r="AC521" s="5"/>
      <c r="AD521" s="5"/>
      <c r="AE521" s="5"/>
      <c r="AF521" s="5"/>
      <c r="AG521" s="5"/>
      <c r="AH521" s="5"/>
      <c r="AI521" s="5"/>
      <c r="AJ521" s="5"/>
      <c r="AK521" s="5"/>
      <c r="AL521" s="5"/>
      <c r="AM521" s="5"/>
      <c r="AN521" s="5"/>
      <c r="AO521" s="5"/>
      <c r="AP521" s="5"/>
      <c r="AQ521" s="5"/>
      <c r="AR521" s="5"/>
      <c r="AS521" s="5"/>
      <c r="AT521" s="5"/>
      <c r="AU521" s="5"/>
    </row>
    <row r="522" ht="15.7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c r="AC522" s="5"/>
      <c r="AD522" s="5"/>
      <c r="AE522" s="5"/>
      <c r="AF522" s="5"/>
      <c r="AG522" s="5"/>
      <c r="AH522" s="5"/>
      <c r="AI522" s="5"/>
      <c r="AJ522" s="5"/>
      <c r="AK522" s="5"/>
      <c r="AL522" s="5"/>
      <c r="AM522" s="5"/>
      <c r="AN522" s="5"/>
      <c r="AO522" s="5"/>
      <c r="AP522" s="5"/>
      <c r="AQ522" s="5"/>
      <c r="AR522" s="5"/>
      <c r="AS522" s="5"/>
      <c r="AT522" s="5"/>
      <c r="AU522" s="5"/>
    </row>
    <row r="523" ht="15.7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c r="AC523" s="5"/>
      <c r="AD523" s="5"/>
      <c r="AE523" s="5"/>
      <c r="AF523" s="5"/>
      <c r="AG523" s="5"/>
      <c r="AH523" s="5"/>
      <c r="AI523" s="5"/>
      <c r="AJ523" s="5"/>
      <c r="AK523" s="5"/>
      <c r="AL523" s="5"/>
      <c r="AM523" s="5"/>
      <c r="AN523" s="5"/>
      <c r="AO523" s="5"/>
      <c r="AP523" s="5"/>
      <c r="AQ523" s="5"/>
      <c r="AR523" s="5"/>
      <c r="AS523" s="5"/>
      <c r="AT523" s="5"/>
      <c r="AU523" s="5"/>
    </row>
    <row r="524" ht="15.7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c r="AC524" s="5"/>
      <c r="AD524" s="5"/>
      <c r="AE524" s="5"/>
      <c r="AF524" s="5"/>
      <c r="AG524" s="5"/>
      <c r="AH524" s="5"/>
      <c r="AI524" s="5"/>
      <c r="AJ524" s="5"/>
      <c r="AK524" s="5"/>
      <c r="AL524" s="5"/>
      <c r="AM524" s="5"/>
      <c r="AN524" s="5"/>
      <c r="AO524" s="5"/>
      <c r="AP524" s="5"/>
      <c r="AQ524" s="5"/>
      <c r="AR524" s="5"/>
      <c r="AS524" s="5"/>
      <c r="AT524" s="5"/>
      <c r="AU524" s="5"/>
    </row>
    <row r="525" ht="15.7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c r="AC525" s="5"/>
      <c r="AD525" s="5"/>
      <c r="AE525" s="5"/>
      <c r="AF525" s="5"/>
      <c r="AG525" s="5"/>
      <c r="AH525" s="5"/>
      <c r="AI525" s="5"/>
      <c r="AJ525" s="5"/>
      <c r="AK525" s="5"/>
      <c r="AL525" s="5"/>
      <c r="AM525" s="5"/>
      <c r="AN525" s="5"/>
      <c r="AO525" s="5"/>
      <c r="AP525" s="5"/>
      <c r="AQ525" s="5"/>
      <c r="AR525" s="5"/>
      <c r="AS525" s="5"/>
      <c r="AT525" s="5"/>
      <c r="AU525" s="5"/>
    </row>
    <row r="526" ht="15.7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c r="AC526" s="5"/>
      <c r="AD526" s="5"/>
      <c r="AE526" s="5"/>
      <c r="AF526" s="5"/>
      <c r="AG526" s="5"/>
      <c r="AH526" s="5"/>
      <c r="AI526" s="5"/>
      <c r="AJ526" s="5"/>
      <c r="AK526" s="5"/>
      <c r="AL526" s="5"/>
      <c r="AM526" s="5"/>
      <c r="AN526" s="5"/>
      <c r="AO526" s="5"/>
      <c r="AP526" s="5"/>
      <c r="AQ526" s="5"/>
      <c r="AR526" s="5"/>
      <c r="AS526" s="5"/>
      <c r="AT526" s="5"/>
      <c r="AU526" s="5"/>
    </row>
    <row r="527" ht="15.7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c r="AC527" s="5"/>
      <c r="AD527" s="5"/>
      <c r="AE527" s="5"/>
      <c r="AF527" s="5"/>
      <c r="AG527" s="5"/>
      <c r="AH527" s="5"/>
      <c r="AI527" s="5"/>
      <c r="AJ527" s="5"/>
      <c r="AK527" s="5"/>
      <c r="AL527" s="5"/>
      <c r="AM527" s="5"/>
      <c r="AN527" s="5"/>
      <c r="AO527" s="5"/>
      <c r="AP527" s="5"/>
      <c r="AQ527" s="5"/>
      <c r="AR527" s="5"/>
      <c r="AS527" s="5"/>
      <c r="AT527" s="5"/>
      <c r="AU527" s="5"/>
    </row>
    <row r="528" ht="15.7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c r="AC528" s="5"/>
      <c r="AD528" s="5"/>
      <c r="AE528" s="5"/>
      <c r="AF528" s="5"/>
      <c r="AG528" s="5"/>
      <c r="AH528" s="5"/>
      <c r="AI528" s="5"/>
      <c r="AJ528" s="5"/>
      <c r="AK528" s="5"/>
      <c r="AL528" s="5"/>
      <c r="AM528" s="5"/>
      <c r="AN528" s="5"/>
      <c r="AO528" s="5"/>
      <c r="AP528" s="5"/>
      <c r="AQ528" s="5"/>
      <c r="AR528" s="5"/>
      <c r="AS528" s="5"/>
      <c r="AT528" s="5"/>
      <c r="AU528" s="5"/>
    </row>
    <row r="529" ht="15.7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c r="AC529" s="5"/>
      <c r="AD529" s="5"/>
      <c r="AE529" s="5"/>
      <c r="AF529" s="5"/>
      <c r="AG529" s="5"/>
      <c r="AH529" s="5"/>
      <c r="AI529" s="5"/>
      <c r="AJ529" s="5"/>
      <c r="AK529" s="5"/>
      <c r="AL529" s="5"/>
      <c r="AM529" s="5"/>
      <c r="AN529" s="5"/>
      <c r="AO529" s="5"/>
      <c r="AP529" s="5"/>
      <c r="AQ529" s="5"/>
      <c r="AR529" s="5"/>
      <c r="AS529" s="5"/>
      <c r="AT529" s="5"/>
      <c r="AU529" s="5"/>
    </row>
    <row r="530" ht="15.7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c r="AC530" s="5"/>
      <c r="AD530" s="5"/>
      <c r="AE530" s="5"/>
      <c r="AF530" s="5"/>
      <c r="AG530" s="5"/>
      <c r="AH530" s="5"/>
      <c r="AI530" s="5"/>
      <c r="AJ530" s="5"/>
      <c r="AK530" s="5"/>
      <c r="AL530" s="5"/>
      <c r="AM530" s="5"/>
      <c r="AN530" s="5"/>
      <c r="AO530" s="5"/>
      <c r="AP530" s="5"/>
      <c r="AQ530" s="5"/>
      <c r="AR530" s="5"/>
      <c r="AS530" s="5"/>
      <c r="AT530" s="5"/>
      <c r="AU530" s="5"/>
    </row>
    <row r="531" ht="15.7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c r="AC531" s="5"/>
      <c r="AD531" s="5"/>
      <c r="AE531" s="5"/>
      <c r="AF531" s="5"/>
      <c r="AG531" s="5"/>
      <c r="AH531" s="5"/>
      <c r="AI531" s="5"/>
      <c r="AJ531" s="5"/>
      <c r="AK531" s="5"/>
      <c r="AL531" s="5"/>
      <c r="AM531" s="5"/>
      <c r="AN531" s="5"/>
      <c r="AO531" s="5"/>
      <c r="AP531" s="5"/>
      <c r="AQ531" s="5"/>
      <c r="AR531" s="5"/>
      <c r="AS531" s="5"/>
      <c r="AT531" s="5"/>
      <c r="AU531" s="5"/>
    </row>
    <row r="532" ht="15.7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c r="AC532" s="5"/>
      <c r="AD532" s="5"/>
      <c r="AE532" s="5"/>
      <c r="AF532" s="5"/>
      <c r="AG532" s="5"/>
      <c r="AH532" s="5"/>
      <c r="AI532" s="5"/>
      <c r="AJ532" s="5"/>
      <c r="AK532" s="5"/>
      <c r="AL532" s="5"/>
      <c r="AM532" s="5"/>
      <c r="AN532" s="5"/>
      <c r="AO532" s="5"/>
      <c r="AP532" s="5"/>
      <c r="AQ532" s="5"/>
      <c r="AR532" s="5"/>
      <c r="AS532" s="5"/>
      <c r="AT532" s="5"/>
      <c r="AU532" s="5"/>
    </row>
    <row r="533" ht="15.7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c r="AC533" s="5"/>
      <c r="AD533" s="5"/>
      <c r="AE533" s="5"/>
      <c r="AF533" s="5"/>
      <c r="AG533" s="5"/>
      <c r="AH533" s="5"/>
      <c r="AI533" s="5"/>
      <c r="AJ533" s="5"/>
      <c r="AK533" s="5"/>
      <c r="AL533" s="5"/>
      <c r="AM533" s="5"/>
      <c r="AN533" s="5"/>
      <c r="AO533" s="5"/>
      <c r="AP533" s="5"/>
      <c r="AQ533" s="5"/>
      <c r="AR533" s="5"/>
      <c r="AS533" s="5"/>
      <c r="AT533" s="5"/>
      <c r="AU533" s="5"/>
    </row>
    <row r="534" ht="15.7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c r="AC534" s="5"/>
      <c r="AD534" s="5"/>
      <c r="AE534" s="5"/>
      <c r="AF534" s="5"/>
      <c r="AG534" s="5"/>
      <c r="AH534" s="5"/>
      <c r="AI534" s="5"/>
      <c r="AJ534" s="5"/>
      <c r="AK534" s="5"/>
      <c r="AL534" s="5"/>
      <c r="AM534" s="5"/>
      <c r="AN534" s="5"/>
      <c r="AO534" s="5"/>
      <c r="AP534" s="5"/>
      <c r="AQ534" s="5"/>
      <c r="AR534" s="5"/>
      <c r="AS534" s="5"/>
      <c r="AT534" s="5"/>
      <c r="AU534" s="5"/>
    </row>
    <row r="535" ht="15.7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c r="AC535" s="5"/>
      <c r="AD535" s="5"/>
      <c r="AE535" s="5"/>
      <c r="AF535" s="5"/>
      <c r="AG535" s="5"/>
      <c r="AH535" s="5"/>
      <c r="AI535" s="5"/>
      <c r="AJ535" s="5"/>
      <c r="AK535" s="5"/>
      <c r="AL535" s="5"/>
      <c r="AM535" s="5"/>
      <c r="AN535" s="5"/>
      <c r="AO535" s="5"/>
      <c r="AP535" s="5"/>
      <c r="AQ535" s="5"/>
      <c r="AR535" s="5"/>
      <c r="AS535" s="5"/>
      <c r="AT535" s="5"/>
      <c r="AU535" s="5"/>
    </row>
    <row r="536" ht="15.7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c r="AC536" s="5"/>
      <c r="AD536" s="5"/>
      <c r="AE536" s="5"/>
      <c r="AF536" s="5"/>
      <c r="AG536" s="5"/>
      <c r="AH536" s="5"/>
      <c r="AI536" s="5"/>
      <c r="AJ536" s="5"/>
      <c r="AK536" s="5"/>
      <c r="AL536" s="5"/>
      <c r="AM536" s="5"/>
      <c r="AN536" s="5"/>
      <c r="AO536" s="5"/>
      <c r="AP536" s="5"/>
      <c r="AQ536" s="5"/>
      <c r="AR536" s="5"/>
      <c r="AS536" s="5"/>
      <c r="AT536" s="5"/>
      <c r="AU536" s="5"/>
    </row>
    <row r="537" ht="15.7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c r="AC537" s="5"/>
      <c r="AD537" s="5"/>
      <c r="AE537" s="5"/>
      <c r="AF537" s="5"/>
      <c r="AG537" s="5"/>
      <c r="AH537" s="5"/>
      <c r="AI537" s="5"/>
      <c r="AJ537" s="5"/>
      <c r="AK537" s="5"/>
      <c r="AL537" s="5"/>
      <c r="AM537" s="5"/>
      <c r="AN537" s="5"/>
      <c r="AO537" s="5"/>
      <c r="AP537" s="5"/>
      <c r="AQ537" s="5"/>
      <c r="AR537" s="5"/>
      <c r="AS537" s="5"/>
      <c r="AT537" s="5"/>
      <c r="AU537" s="5"/>
    </row>
    <row r="538" ht="15.7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c r="AC538" s="5"/>
      <c r="AD538" s="5"/>
      <c r="AE538" s="5"/>
      <c r="AF538" s="5"/>
      <c r="AG538" s="5"/>
      <c r="AH538" s="5"/>
      <c r="AI538" s="5"/>
      <c r="AJ538" s="5"/>
      <c r="AK538" s="5"/>
      <c r="AL538" s="5"/>
      <c r="AM538" s="5"/>
      <c r="AN538" s="5"/>
      <c r="AO538" s="5"/>
      <c r="AP538" s="5"/>
      <c r="AQ538" s="5"/>
      <c r="AR538" s="5"/>
      <c r="AS538" s="5"/>
      <c r="AT538" s="5"/>
      <c r="AU538" s="5"/>
    </row>
    <row r="539" ht="15.7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c r="AC539" s="5"/>
      <c r="AD539" s="5"/>
      <c r="AE539" s="5"/>
      <c r="AF539" s="5"/>
      <c r="AG539" s="5"/>
      <c r="AH539" s="5"/>
      <c r="AI539" s="5"/>
      <c r="AJ539" s="5"/>
      <c r="AK539" s="5"/>
      <c r="AL539" s="5"/>
      <c r="AM539" s="5"/>
      <c r="AN539" s="5"/>
      <c r="AO539" s="5"/>
      <c r="AP539" s="5"/>
      <c r="AQ539" s="5"/>
      <c r="AR539" s="5"/>
      <c r="AS539" s="5"/>
      <c r="AT539" s="5"/>
      <c r="AU539" s="5"/>
    </row>
    <row r="540" ht="15.7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c r="AC540" s="5"/>
      <c r="AD540" s="5"/>
      <c r="AE540" s="5"/>
      <c r="AF540" s="5"/>
      <c r="AG540" s="5"/>
      <c r="AH540" s="5"/>
      <c r="AI540" s="5"/>
      <c r="AJ540" s="5"/>
      <c r="AK540" s="5"/>
      <c r="AL540" s="5"/>
      <c r="AM540" s="5"/>
      <c r="AN540" s="5"/>
      <c r="AO540" s="5"/>
      <c r="AP540" s="5"/>
      <c r="AQ540" s="5"/>
      <c r="AR540" s="5"/>
      <c r="AS540" s="5"/>
      <c r="AT540" s="5"/>
      <c r="AU540" s="5"/>
    </row>
    <row r="541" ht="15.7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c r="AC541" s="5"/>
      <c r="AD541" s="5"/>
      <c r="AE541" s="5"/>
      <c r="AF541" s="5"/>
      <c r="AG541" s="5"/>
      <c r="AH541" s="5"/>
      <c r="AI541" s="5"/>
      <c r="AJ541" s="5"/>
      <c r="AK541" s="5"/>
      <c r="AL541" s="5"/>
      <c r="AM541" s="5"/>
      <c r="AN541" s="5"/>
      <c r="AO541" s="5"/>
      <c r="AP541" s="5"/>
      <c r="AQ541" s="5"/>
      <c r="AR541" s="5"/>
      <c r="AS541" s="5"/>
      <c r="AT541" s="5"/>
      <c r="AU541" s="5"/>
    </row>
    <row r="542" ht="15.7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c r="AC542" s="5"/>
      <c r="AD542" s="5"/>
      <c r="AE542" s="5"/>
      <c r="AF542" s="5"/>
      <c r="AG542" s="5"/>
      <c r="AH542" s="5"/>
      <c r="AI542" s="5"/>
      <c r="AJ542" s="5"/>
      <c r="AK542" s="5"/>
      <c r="AL542" s="5"/>
      <c r="AM542" s="5"/>
      <c r="AN542" s="5"/>
      <c r="AO542" s="5"/>
      <c r="AP542" s="5"/>
      <c r="AQ542" s="5"/>
      <c r="AR542" s="5"/>
      <c r="AS542" s="5"/>
      <c r="AT542" s="5"/>
      <c r="AU542" s="5"/>
    </row>
    <row r="543" ht="15.7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c r="AC543" s="5"/>
      <c r="AD543" s="5"/>
      <c r="AE543" s="5"/>
      <c r="AF543" s="5"/>
      <c r="AG543" s="5"/>
      <c r="AH543" s="5"/>
      <c r="AI543" s="5"/>
      <c r="AJ543" s="5"/>
      <c r="AK543" s="5"/>
      <c r="AL543" s="5"/>
      <c r="AM543" s="5"/>
      <c r="AN543" s="5"/>
      <c r="AO543" s="5"/>
      <c r="AP543" s="5"/>
      <c r="AQ543" s="5"/>
      <c r="AR543" s="5"/>
      <c r="AS543" s="5"/>
      <c r="AT543" s="5"/>
      <c r="AU543" s="5"/>
    </row>
    <row r="544" ht="15.7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c r="AC544" s="5"/>
      <c r="AD544" s="5"/>
      <c r="AE544" s="5"/>
      <c r="AF544" s="5"/>
      <c r="AG544" s="5"/>
      <c r="AH544" s="5"/>
      <c r="AI544" s="5"/>
      <c r="AJ544" s="5"/>
      <c r="AK544" s="5"/>
      <c r="AL544" s="5"/>
      <c r="AM544" s="5"/>
      <c r="AN544" s="5"/>
      <c r="AO544" s="5"/>
      <c r="AP544" s="5"/>
      <c r="AQ544" s="5"/>
      <c r="AR544" s="5"/>
      <c r="AS544" s="5"/>
      <c r="AT544" s="5"/>
      <c r="AU544" s="5"/>
    </row>
    <row r="545" ht="15.7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c r="AC545" s="5"/>
      <c r="AD545" s="5"/>
      <c r="AE545" s="5"/>
      <c r="AF545" s="5"/>
      <c r="AG545" s="5"/>
      <c r="AH545" s="5"/>
      <c r="AI545" s="5"/>
      <c r="AJ545" s="5"/>
      <c r="AK545" s="5"/>
      <c r="AL545" s="5"/>
      <c r="AM545" s="5"/>
      <c r="AN545" s="5"/>
      <c r="AO545" s="5"/>
      <c r="AP545" s="5"/>
      <c r="AQ545" s="5"/>
      <c r="AR545" s="5"/>
      <c r="AS545" s="5"/>
      <c r="AT545" s="5"/>
      <c r="AU545" s="5"/>
    </row>
    <row r="546" ht="15.7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c r="AC546" s="5"/>
      <c r="AD546" s="5"/>
      <c r="AE546" s="5"/>
      <c r="AF546" s="5"/>
      <c r="AG546" s="5"/>
      <c r="AH546" s="5"/>
      <c r="AI546" s="5"/>
      <c r="AJ546" s="5"/>
      <c r="AK546" s="5"/>
      <c r="AL546" s="5"/>
      <c r="AM546" s="5"/>
      <c r="AN546" s="5"/>
      <c r="AO546" s="5"/>
      <c r="AP546" s="5"/>
      <c r="AQ546" s="5"/>
      <c r="AR546" s="5"/>
      <c r="AS546" s="5"/>
      <c r="AT546" s="5"/>
      <c r="AU546" s="5"/>
    </row>
    <row r="547" ht="15.7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c r="AC547" s="5"/>
      <c r="AD547" s="5"/>
      <c r="AE547" s="5"/>
      <c r="AF547" s="5"/>
      <c r="AG547" s="5"/>
      <c r="AH547" s="5"/>
      <c r="AI547" s="5"/>
      <c r="AJ547" s="5"/>
      <c r="AK547" s="5"/>
      <c r="AL547" s="5"/>
      <c r="AM547" s="5"/>
      <c r="AN547" s="5"/>
      <c r="AO547" s="5"/>
      <c r="AP547" s="5"/>
      <c r="AQ547" s="5"/>
      <c r="AR547" s="5"/>
      <c r="AS547" s="5"/>
      <c r="AT547" s="5"/>
      <c r="AU547" s="5"/>
    </row>
    <row r="548" ht="15.7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c r="AC548" s="5"/>
      <c r="AD548" s="5"/>
      <c r="AE548" s="5"/>
      <c r="AF548" s="5"/>
      <c r="AG548" s="5"/>
      <c r="AH548" s="5"/>
      <c r="AI548" s="5"/>
      <c r="AJ548" s="5"/>
      <c r="AK548" s="5"/>
      <c r="AL548" s="5"/>
      <c r="AM548" s="5"/>
      <c r="AN548" s="5"/>
      <c r="AO548" s="5"/>
      <c r="AP548" s="5"/>
      <c r="AQ548" s="5"/>
      <c r="AR548" s="5"/>
      <c r="AS548" s="5"/>
      <c r="AT548" s="5"/>
      <c r="AU548" s="5"/>
    </row>
    <row r="549" ht="15.7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c r="AC549" s="5"/>
      <c r="AD549" s="5"/>
      <c r="AE549" s="5"/>
      <c r="AF549" s="5"/>
      <c r="AG549" s="5"/>
      <c r="AH549" s="5"/>
      <c r="AI549" s="5"/>
      <c r="AJ549" s="5"/>
      <c r="AK549" s="5"/>
      <c r="AL549" s="5"/>
      <c r="AM549" s="5"/>
      <c r="AN549" s="5"/>
      <c r="AO549" s="5"/>
      <c r="AP549" s="5"/>
      <c r="AQ549" s="5"/>
      <c r="AR549" s="5"/>
      <c r="AS549" s="5"/>
      <c r="AT549" s="5"/>
      <c r="AU549" s="5"/>
    </row>
    <row r="550" ht="15.7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c r="AC550" s="5"/>
      <c r="AD550" s="5"/>
      <c r="AE550" s="5"/>
      <c r="AF550" s="5"/>
      <c r="AG550" s="5"/>
      <c r="AH550" s="5"/>
      <c r="AI550" s="5"/>
      <c r="AJ550" s="5"/>
      <c r="AK550" s="5"/>
      <c r="AL550" s="5"/>
      <c r="AM550" s="5"/>
      <c r="AN550" s="5"/>
      <c r="AO550" s="5"/>
      <c r="AP550" s="5"/>
      <c r="AQ550" s="5"/>
      <c r="AR550" s="5"/>
      <c r="AS550" s="5"/>
      <c r="AT550" s="5"/>
      <c r="AU550" s="5"/>
    </row>
    <row r="551" ht="15.7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c r="AC551" s="5"/>
      <c r="AD551" s="5"/>
      <c r="AE551" s="5"/>
      <c r="AF551" s="5"/>
      <c r="AG551" s="5"/>
      <c r="AH551" s="5"/>
      <c r="AI551" s="5"/>
      <c r="AJ551" s="5"/>
      <c r="AK551" s="5"/>
      <c r="AL551" s="5"/>
      <c r="AM551" s="5"/>
      <c r="AN551" s="5"/>
      <c r="AO551" s="5"/>
      <c r="AP551" s="5"/>
      <c r="AQ551" s="5"/>
      <c r="AR551" s="5"/>
      <c r="AS551" s="5"/>
      <c r="AT551" s="5"/>
      <c r="AU551" s="5"/>
    </row>
    <row r="552" ht="15.7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c r="AC552" s="5"/>
      <c r="AD552" s="5"/>
      <c r="AE552" s="5"/>
      <c r="AF552" s="5"/>
      <c r="AG552" s="5"/>
      <c r="AH552" s="5"/>
      <c r="AI552" s="5"/>
      <c r="AJ552" s="5"/>
      <c r="AK552" s="5"/>
      <c r="AL552" s="5"/>
      <c r="AM552" s="5"/>
      <c r="AN552" s="5"/>
      <c r="AO552" s="5"/>
      <c r="AP552" s="5"/>
      <c r="AQ552" s="5"/>
      <c r="AR552" s="5"/>
      <c r="AS552" s="5"/>
      <c r="AT552" s="5"/>
      <c r="AU552" s="5"/>
    </row>
    <row r="553" ht="15.7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c r="AC553" s="5"/>
      <c r="AD553" s="5"/>
      <c r="AE553" s="5"/>
      <c r="AF553" s="5"/>
      <c r="AG553" s="5"/>
      <c r="AH553" s="5"/>
      <c r="AI553" s="5"/>
      <c r="AJ553" s="5"/>
      <c r="AK553" s="5"/>
      <c r="AL553" s="5"/>
      <c r="AM553" s="5"/>
      <c r="AN553" s="5"/>
      <c r="AO553" s="5"/>
      <c r="AP553" s="5"/>
      <c r="AQ553" s="5"/>
      <c r="AR553" s="5"/>
      <c r="AS553" s="5"/>
      <c r="AT553" s="5"/>
      <c r="AU553" s="5"/>
    </row>
    <row r="554" ht="15.7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c r="AC554" s="5"/>
      <c r="AD554" s="5"/>
      <c r="AE554" s="5"/>
      <c r="AF554" s="5"/>
      <c r="AG554" s="5"/>
      <c r="AH554" s="5"/>
      <c r="AI554" s="5"/>
      <c r="AJ554" s="5"/>
      <c r="AK554" s="5"/>
      <c r="AL554" s="5"/>
      <c r="AM554" s="5"/>
      <c r="AN554" s="5"/>
      <c r="AO554" s="5"/>
      <c r="AP554" s="5"/>
      <c r="AQ554" s="5"/>
      <c r="AR554" s="5"/>
      <c r="AS554" s="5"/>
      <c r="AT554" s="5"/>
      <c r="AU554" s="5"/>
    </row>
    <row r="555" ht="15.7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c r="AC555" s="5"/>
      <c r="AD555" s="5"/>
      <c r="AE555" s="5"/>
      <c r="AF555" s="5"/>
      <c r="AG555" s="5"/>
      <c r="AH555" s="5"/>
      <c r="AI555" s="5"/>
      <c r="AJ555" s="5"/>
      <c r="AK555" s="5"/>
      <c r="AL555" s="5"/>
      <c r="AM555" s="5"/>
      <c r="AN555" s="5"/>
      <c r="AO555" s="5"/>
      <c r="AP555" s="5"/>
      <c r="AQ555" s="5"/>
      <c r="AR555" s="5"/>
      <c r="AS555" s="5"/>
      <c r="AT555" s="5"/>
      <c r="AU555" s="5"/>
    </row>
    <row r="556" ht="15.7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c r="AC556" s="5"/>
      <c r="AD556" s="5"/>
      <c r="AE556" s="5"/>
      <c r="AF556" s="5"/>
      <c r="AG556" s="5"/>
      <c r="AH556" s="5"/>
      <c r="AI556" s="5"/>
      <c r="AJ556" s="5"/>
      <c r="AK556" s="5"/>
      <c r="AL556" s="5"/>
      <c r="AM556" s="5"/>
      <c r="AN556" s="5"/>
      <c r="AO556" s="5"/>
      <c r="AP556" s="5"/>
      <c r="AQ556" s="5"/>
      <c r="AR556" s="5"/>
      <c r="AS556" s="5"/>
      <c r="AT556" s="5"/>
      <c r="AU556" s="5"/>
    </row>
    <row r="557" ht="15.7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c r="AC557" s="5"/>
      <c r="AD557" s="5"/>
      <c r="AE557" s="5"/>
      <c r="AF557" s="5"/>
      <c r="AG557" s="5"/>
      <c r="AH557" s="5"/>
      <c r="AI557" s="5"/>
      <c r="AJ557" s="5"/>
      <c r="AK557" s="5"/>
      <c r="AL557" s="5"/>
      <c r="AM557" s="5"/>
      <c r="AN557" s="5"/>
      <c r="AO557" s="5"/>
      <c r="AP557" s="5"/>
      <c r="AQ557" s="5"/>
      <c r="AR557" s="5"/>
      <c r="AS557" s="5"/>
      <c r="AT557" s="5"/>
      <c r="AU557" s="5"/>
    </row>
    <row r="558" ht="15.7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c r="AC558" s="5"/>
      <c r="AD558" s="5"/>
      <c r="AE558" s="5"/>
      <c r="AF558" s="5"/>
      <c r="AG558" s="5"/>
      <c r="AH558" s="5"/>
      <c r="AI558" s="5"/>
      <c r="AJ558" s="5"/>
      <c r="AK558" s="5"/>
      <c r="AL558" s="5"/>
      <c r="AM558" s="5"/>
      <c r="AN558" s="5"/>
      <c r="AO558" s="5"/>
      <c r="AP558" s="5"/>
      <c r="AQ558" s="5"/>
      <c r="AR558" s="5"/>
      <c r="AS558" s="5"/>
      <c r="AT558" s="5"/>
      <c r="AU558" s="5"/>
    </row>
    <row r="559" ht="15.7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c r="AC559" s="5"/>
      <c r="AD559" s="5"/>
      <c r="AE559" s="5"/>
      <c r="AF559" s="5"/>
      <c r="AG559" s="5"/>
      <c r="AH559" s="5"/>
      <c r="AI559" s="5"/>
      <c r="AJ559" s="5"/>
      <c r="AK559" s="5"/>
      <c r="AL559" s="5"/>
      <c r="AM559" s="5"/>
      <c r="AN559" s="5"/>
      <c r="AO559" s="5"/>
      <c r="AP559" s="5"/>
      <c r="AQ559" s="5"/>
      <c r="AR559" s="5"/>
      <c r="AS559" s="5"/>
      <c r="AT559" s="5"/>
      <c r="AU559" s="5"/>
    </row>
    <row r="560" ht="15.7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c r="AC560" s="5"/>
      <c r="AD560" s="5"/>
      <c r="AE560" s="5"/>
      <c r="AF560" s="5"/>
      <c r="AG560" s="5"/>
      <c r="AH560" s="5"/>
      <c r="AI560" s="5"/>
      <c r="AJ560" s="5"/>
      <c r="AK560" s="5"/>
      <c r="AL560" s="5"/>
      <c r="AM560" s="5"/>
      <c r="AN560" s="5"/>
      <c r="AO560" s="5"/>
      <c r="AP560" s="5"/>
      <c r="AQ560" s="5"/>
      <c r="AR560" s="5"/>
      <c r="AS560" s="5"/>
      <c r="AT560" s="5"/>
      <c r="AU560" s="5"/>
    </row>
    <row r="561" ht="15.7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c r="AC561" s="5"/>
      <c r="AD561" s="5"/>
      <c r="AE561" s="5"/>
      <c r="AF561" s="5"/>
      <c r="AG561" s="5"/>
      <c r="AH561" s="5"/>
      <c r="AI561" s="5"/>
      <c r="AJ561" s="5"/>
      <c r="AK561" s="5"/>
      <c r="AL561" s="5"/>
      <c r="AM561" s="5"/>
      <c r="AN561" s="5"/>
      <c r="AO561" s="5"/>
      <c r="AP561" s="5"/>
      <c r="AQ561" s="5"/>
      <c r="AR561" s="5"/>
      <c r="AS561" s="5"/>
      <c r="AT561" s="5"/>
      <c r="AU561" s="5"/>
    </row>
    <row r="562" ht="15.7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c r="AC562" s="5"/>
      <c r="AD562" s="5"/>
      <c r="AE562" s="5"/>
      <c r="AF562" s="5"/>
      <c r="AG562" s="5"/>
      <c r="AH562" s="5"/>
      <c r="AI562" s="5"/>
      <c r="AJ562" s="5"/>
      <c r="AK562" s="5"/>
      <c r="AL562" s="5"/>
      <c r="AM562" s="5"/>
      <c r="AN562" s="5"/>
      <c r="AO562" s="5"/>
      <c r="AP562" s="5"/>
      <c r="AQ562" s="5"/>
      <c r="AR562" s="5"/>
      <c r="AS562" s="5"/>
      <c r="AT562" s="5"/>
      <c r="AU562" s="5"/>
    </row>
    <row r="563" ht="15.7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c r="AC563" s="5"/>
      <c r="AD563" s="5"/>
      <c r="AE563" s="5"/>
      <c r="AF563" s="5"/>
      <c r="AG563" s="5"/>
      <c r="AH563" s="5"/>
      <c r="AI563" s="5"/>
      <c r="AJ563" s="5"/>
      <c r="AK563" s="5"/>
      <c r="AL563" s="5"/>
      <c r="AM563" s="5"/>
      <c r="AN563" s="5"/>
      <c r="AO563" s="5"/>
      <c r="AP563" s="5"/>
      <c r="AQ563" s="5"/>
      <c r="AR563" s="5"/>
      <c r="AS563" s="5"/>
      <c r="AT563" s="5"/>
      <c r="AU563" s="5"/>
    </row>
    <row r="564" ht="15.7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c r="AC564" s="5"/>
      <c r="AD564" s="5"/>
      <c r="AE564" s="5"/>
      <c r="AF564" s="5"/>
      <c r="AG564" s="5"/>
      <c r="AH564" s="5"/>
      <c r="AI564" s="5"/>
      <c r="AJ564" s="5"/>
      <c r="AK564" s="5"/>
      <c r="AL564" s="5"/>
      <c r="AM564" s="5"/>
      <c r="AN564" s="5"/>
      <c r="AO564" s="5"/>
      <c r="AP564" s="5"/>
      <c r="AQ564" s="5"/>
      <c r="AR564" s="5"/>
      <c r="AS564" s="5"/>
      <c r="AT564" s="5"/>
      <c r="AU564" s="5"/>
    </row>
    <row r="565" ht="15.7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c r="AC565" s="5"/>
      <c r="AD565" s="5"/>
      <c r="AE565" s="5"/>
      <c r="AF565" s="5"/>
      <c r="AG565" s="5"/>
      <c r="AH565" s="5"/>
      <c r="AI565" s="5"/>
      <c r="AJ565" s="5"/>
      <c r="AK565" s="5"/>
      <c r="AL565" s="5"/>
      <c r="AM565" s="5"/>
      <c r="AN565" s="5"/>
      <c r="AO565" s="5"/>
      <c r="AP565" s="5"/>
      <c r="AQ565" s="5"/>
      <c r="AR565" s="5"/>
      <c r="AS565" s="5"/>
      <c r="AT565" s="5"/>
      <c r="AU565" s="5"/>
    </row>
    <row r="566" ht="15.7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c r="AC566" s="5"/>
      <c r="AD566" s="5"/>
      <c r="AE566" s="5"/>
      <c r="AF566" s="5"/>
      <c r="AG566" s="5"/>
      <c r="AH566" s="5"/>
      <c r="AI566" s="5"/>
      <c r="AJ566" s="5"/>
      <c r="AK566" s="5"/>
      <c r="AL566" s="5"/>
      <c r="AM566" s="5"/>
      <c r="AN566" s="5"/>
      <c r="AO566" s="5"/>
      <c r="AP566" s="5"/>
      <c r="AQ566" s="5"/>
      <c r="AR566" s="5"/>
      <c r="AS566" s="5"/>
      <c r="AT566" s="5"/>
      <c r="AU566" s="5"/>
    </row>
    <row r="567" ht="15.7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c r="AC567" s="5"/>
      <c r="AD567" s="5"/>
      <c r="AE567" s="5"/>
      <c r="AF567" s="5"/>
      <c r="AG567" s="5"/>
      <c r="AH567" s="5"/>
      <c r="AI567" s="5"/>
      <c r="AJ567" s="5"/>
      <c r="AK567" s="5"/>
      <c r="AL567" s="5"/>
      <c r="AM567" s="5"/>
      <c r="AN567" s="5"/>
      <c r="AO567" s="5"/>
      <c r="AP567" s="5"/>
      <c r="AQ567" s="5"/>
      <c r="AR567" s="5"/>
      <c r="AS567" s="5"/>
      <c r="AT567" s="5"/>
      <c r="AU567" s="5"/>
    </row>
    <row r="568" ht="15.7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c r="AC568" s="5"/>
      <c r="AD568" s="5"/>
      <c r="AE568" s="5"/>
      <c r="AF568" s="5"/>
      <c r="AG568" s="5"/>
      <c r="AH568" s="5"/>
      <c r="AI568" s="5"/>
      <c r="AJ568" s="5"/>
      <c r="AK568" s="5"/>
      <c r="AL568" s="5"/>
      <c r="AM568" s="5"/>
      <c r="AN568" s="5"/>
      <c r="AO568" s="5"/>
      <c r="AP568" s="5"/>
      <c r="AQ568" s="5"/>
      <c r="AR568" s="5"/>
      <c r="AS568" s="5"/>
      <c r="AT568" s="5"/>
      <c r="AU568" s="5"/>
    </row>
    <row r="569" ht="15.7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c r="AC569" s="5"/>
      <c r="AD569" s="5"/>
      <c r="AE569" s="5"/>
      <c r="AF569" s="5"/>
      <c r="AG569" s="5"/>
      <c r="AH569" s="5"/>
      <c r="AI569" s="5"/>
      <c r="AJ569" s="5"/>
      <c r="AK569" s="5"/>
      <c r="AL569" s="5"/>
      <c r="AM569" s="5"/>
      <c r="AN569" s="5"/>
      <c r="AO569" s="5"/>
      <c r="AP569" s="5"/>
      <c r="AQ569" s="5"/>
      <c r="AR569" s="5"/>
      <c r="AS569" s="5"/>
      <c r="AT569" s="5"/>
      <c r="AU569" s="5"/>
    </row>
    <row r="570" ht="15.7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c r="AC570" s="5"/>
      <c r="AD570" s="5"/>
      <c r="AE570" s="5"/>
      <c r="AF570" s="5"/>
      <c r="AG570" s="5"/>
      <c r="AH570" s="5"/>
      <c r="AI570" s="5"/>
      <c r="AJ570" s="5"/>
      <c r="AK570" s="5"/>
      <c r="AL570" s="5"/>
      <c r="AM570" s="5"/>
      <c r="AN570" s="5"/>
      <c r="AO570" s="5"/>
      <c r="AP570" s="5"/>
      <c r="AQ570" s="5"/>
      <c r="AR570" s="5"/>
      <c r="AS570" s="5"/>
      <c r="AT570" s="5"/>
      <c r="AU570" s="5"/>
    </row>
    <row r="571" ht="15.7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c r="AC571" s="5"/>
      <c r="AD571" s="5"/>
      <c r="AE571" s="5"/>
      <c r="AF571" s="5"/>
      <c r="AG571" s="5"/>
      <c r="AH571" s="5"/>
      <c r="AI571" s="5"/>
      <c r="AJ571" s="5"/>
      <c r="AK571" s="5"/>
      <c r="AL571" s="5"/>
      <c r="AM571" s="5"/>
      <c r="AN571" s="5"/>
      <c r="AO571" s="5"/>
      <c r="AP571" s="5"/>
      <c r="AQ571" s="5"/>
      <c r="AR571" s="5"/>
      <c r="AS571" s="5"/>
      <c r="AT571" s="5"/>
      <c r="AU571" s="5"/>
    </row>
    <row r="572" ht="15.7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c r="AC572" s="5"/>
      <c r="AD572" s="5"/>
      <c r="AE572" s="5"/>
      <c r="AF572" s="5"/>
      <c r="AG572" s="5"/>
      <c r="AH572" s="5"/>
      <c r="AI572" s="5"/>
      <c r="AJ572" s="5"/>
      <c r="AK572" s="5"/>
      <c r="AL572" s="5"/>
      <c r="AM572" s="5"/>
      <c r="AN572" s="5"/>
      <c r="AO572" s="5"/>
      <c r="AP572" s="5"/>
      <c r="AQ572" s="5"/>
      <c r="AR572" s="5"/>
      <c r="AS572" s="5"/>
      <c r="AT572" s="5"/>
      <c r="AU572" s="5"/>
    </row>
    <row r="573" ht="15.7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c r="AC573" s="5"/>
      <c r="AD573" s="5"/>
      <c r="AE573" s="5"/>
      <c r="AF573" s="5"/>
      <c r="AG573" s="5"/>
      <c r="AH573" s="5"/>
      <c r="AI573" s="5"/>
      <c r="AJ573" s="5"/>
      <c r="AK573" s="5"/>
      <c r="AL573" s="5"/>
      <c r="AM573" s="5"/>
      <c r="AN573" s="5"/>
      <c r="AO573" s="5"/>
      <c r="AP573" s="5"/>
      <c r="AQ573" s="5"/>
      <c r="AR573" s="5"/>
      <c r="AS573" s="5"/>
      <c r="AT573" s="5"/>
      <c r="AU573" s="5"/>
    </row>
    <row r="574" ht="15.7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c r="AC574" s="5"/>
      <c r="AD574" s="5"/>
      <c r="AE574" s="5"/>
      <c r="AF574" s="5"/>
      <c r="AG574" s="5"/>
      <c r="AH574" s="5"/>
      <c r="AI574" s="5"/>
      <c r="AJ574" s="5"/>
      <c r="AK574" s="5"/>
      <c r="AL574" s="5"/>
      <c r="AM574" s="5"/>
      <c r="AN574" s="5"/>
      <c r="AO574" s="5"/>
      <c r="AP574" s="5"/>
      <c r="AQ574" s="5"/>
      <c r="AR574" s="5"/>
      <c r="AS574" s="5"/>
      <c r="AT574" s="5"/>
      <c r="AU574" s="5"/>
    </row>
    <row r="575" ht="15.7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c r="AC575" s="5"/>
      <c r="AD575" s="5"/>
      <c r="AE575" s="5"/>
      <c r="AF575" s="5"/>
      <c r="AG575" s="5"/>
      <c r="AH575" s="5"/>
      <c r="AI575" s="5"/>
      <c r="AJ575" s="5"/>
      <c r="AK575" s="5"/>
      <c r="AL575" s="5"/>
      <c r="AM575" s="5"/>
      <c r="AN575" s="5"/>
      <c r="AO575" s="5"/>
      <c r="AP575" s="5"/>
      <c r="AQ575" s="5"/>
      <c r="AR575" s="5"/>
      <c r="AS575" s="5"/>
      <c r="AT575" s="5"/>
      <c r="AU575" s="5"/>
    </row>
    <row r="576" ht="15.7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c r="AC576" s="5"/>
      <c r="AD576" s="5"/>
      <c r="AE576" s="5"/>
      <c r="AF576" s="5"/>
      <c r="AG576" s="5"/>
      <c r="AH576" s="5"/>
      <c r="AI576" s="5"/>
      <c r="AJ576" s="5"/>
      <c r="AK576" s="5"/>
      <c r="AL576" s="5"/>
      <c r="AM576" s="5"/>
      <c r="AN576" s="5"/>
      <c r="AO576" s="5"/>
      <c r="AP576" s="5"/>
      <c r="AQ576" s="5"/>
      <c r="AR576" s="5"/>
      <c r="AS576" s="5"/>
      <c r="AT576" s="5"/>
      <c r="AU576" s="5"/>
    </row>
    <row r="577" ht="15.7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c r="AC577" s="5"/>
      <c r="AD577" s="5"/>
      <c r="AE577" s="5"/>
      <c r="AF577" s="5"/>
      <c r="AG577" s="5"/>
      <c r="AH577" s="5"/>
      <c r="AI577" s="5"/>
      <c r="AJ577" s="5"/>
      <c r="AK577" s="5"/>
      <c r="AL577" s="5"/>
      <c r="AM577" s="5"/>
      <c r="AN577" s="5"/>
      <c r="AO577" s="5"/>
      <c r="AP577" s="5"/>
      <c r="AQ577" s="5"/>
      <c r="AR577" s="5"/>
      <c r="AS577" s="5"/>
      <c r="AT577" s="5"/>
      <c r="AU577" s="5"/>
    </row>
    <row r="578" ht="15.7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c r="AC578" s="5"/>
      <c r="AD578" s="5"/>
      <c r="AE578" s="5"/>
      <c r="AF578" s="5"/>
      <c r="AG578" s="5"/>
      <c r="AH578" s="5"/>
      <c r="AI578" s="5"/>
      <c r="AJ578" s="5"/>
      <c r="AK578" s="5"/>
      <c r="AL578" s="5"/>
      <c r="AM578" s="5"/>
      <c r="AN578" s="5"/>
      <c r="AO578" s="5"/>
      <c r="AP578" s="5"/>
      <c r="AQ578" s="5"/>
      <c r="AR578" s="5"/>
      <c r="AS578" s="5"/>
      <c r="AT578" s="5"/>
      <c r="AU578" s="5"/>
    </row>
    <row r="579" ht="15.7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c r="AC579" s="5"/>
      <c r="AD579" s="5"/>
      <c r="AE579" s="5"/>
      <c r="AF579" s="5"/>
      <c r="AG579" s="5"/>
      <c r="AH579" s="5"/>
      <c r="AI579" s="5"/>
      <c r="AJ579" s="5"/>
      <c r="AK579" s="5"/>
      <c r="AL579" s="5"/>
      <c r="AM579" s="5"/>
      <c r="AN579" s="5"/>
      <c r="AO579" s="5"/>
      <c r="AP579" s="5"/>
      <c r="AQ579" s="5"/>
      <c r="AR579" s="5"/>
      <c r="AS579" s="5"/>
      <c r="AT579" s="5"/>
      <c r="AU579" s="5"/>
    </row>
    <row r="580" ht="15.7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c r="AC580" s="5"/>
      <c r="AD580" s="5"/>
      <c r="AE580" s="5"/>
      <c r="AF580" s="5"/>
      <c r="AG580" s="5"/>
      <c r="AH580" s="5"/>
      <c r="AI580" s="5"/>
      <c r="AJ580" s="5"/>
      <c r="AK580" s="5"/>
      <c r="AL580" s="5"/>
      <c r="AM580" s="5"/>
      <c r="AN580" s="5"/>
      <c r="AO580" s="5"/>
      <c r="AP580" s="5"/>
      <c r="AQ580" s="5"/>
      <c r="AR580" s="5"/>
      <c r="AS580" s="5"/>
      <c r="AT580" s="5"/>
      <c r="AU580" s="5"/>
    </row>
    <row r="581" ht="15.7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c r="AC581" s="5"/>
      <c r="AD581" s="5"/>
      <c r="AE581" s="5"/>
      <c r="AF581" s="5"/>
      <c r="AG581" s="5"/>
      <c r="AH581" s="5"/>
      <c r="AI581" s="5"/>
      <c r="AJ581" s="5"/>
      <c r="AK581" s="5"/>
      <c r="AL581" s="5"/>
      <c r="AM581" s="5"/>
      <c r="AN581" s="5"/>
      <c r="AO581" s="5"/>
      <c r="AP581" s="5"/>
      <c r="AQ581" s="5"/>
      <c r="AR581" s="5"/>
      <c r="AS581" s="5"/>
      <c r="AT581" s="5"/>
      <c r="AU581" s="5"/>
    </row>
    <row r="582" ht="15.7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c r="AC582" s="5"/>
      <c r="AD582" s="5"/>
      <c r="AE582" s="5"/>
      <c r="AF582" s="5"/>
      <c r="AG582" s="5"/>
      <c r="AH582" s="5"/>
      <c r="AI582" s="5"/>
      <c r="AJ582" s="5"/>
      <c r="AK582" s="5"/>
      <c r="AL582" s="5"/>
      <c r="AM582" s="5"/>
      <c r="AN582" s="5"/>
      <c r="AO582" s="5"/>
      <c r="AP582" s="5"/>
      <c r="AQ582" s="5"/>
      <c r="AR582" s="5"/>
      <c r="AS582" s="5"/>
      <c r="AT582" s="5"/>
      <c r="AU582" s="5"/>
    </row>
    <row r="583" ht="15.7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c r="AC583" s="5"/>
      <c r="AD583" s="5"/>
      <c r="AE583" s="5"/>
      <c r="AF583" s="5"/>
      <c r="AG583" s="5"/>
      <c r="AH583" s="5"/>
      <c r="AI583" s="5"/>
      <c r="AJ583" s="5"/>
      <c r="AK583" s="5"/>
      <c r="AL583" s="5"/>
      <c r="AM583" s="5"/>
      <c r="AN583" s="5"/>
      <c r="AO583" s="5"/>
      <c r="AP583" s="5"/>
      <c r="AQ583" s="5"/>
      <c r="AR583" s="5"/>
      <c r="AS583" s="5"/>
      <c r="AT583" s="5"/>
      <c r="AU583" s="5"/>
    </row>
    <row r="584" ht="15.7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c r="AC584" s="5"/>
      <c r="AD584" s="5"/>
      <c r="AE584" s="5"/>
      <c r="AF584" s="5"/>
      <c r="AG584" s="5"/>
      <c r="AH584" s="5"/>
      <c r="AI584" s="5"/>
      <c r="AJ584" s="5"/>
      <c r="AK584" s="5"/>
      <c r="AL584" s="5"/>
      <c r="AM584" s="5"/>
      <c r="AN584" s="5"/>
      <c r="AO584" s="5"/>
      <c r="AP584" s="5"/>
      <c r="AQ584" s="5"/>
      <c r="AR584" s="5"/>
      <c r="AS584" s="5"/>
      <c r="AT584" s="5"/>
      <c r="AU584" s="5"/>
    </row>
    <row r="585" ht="15.7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c r="AC585" s="5"/>
      <c r="AD585" s="5"/>
      <c r="AE585" s="5"/>
      <c r="AF585" s="5"/>
      <c r="AG585" s="5"/>
      <c r="AH585" s="5"/>
      <c r="AI585" s="5"/>
      <c r="AJ585" s="5"/>
      <c r="AK585" s="5"/>
      <c r="AL585" s="5"/>
      <c r="AM585" s="5"/>
      <c r="AN585" s="5"/>
      <c r="AO585" s="5"/>
      <c r="AP585" s="5"/>
      <c r="AQ585" s="5"/>
      <c r="AR585" s="5"/>
      <c r="AS585" s="5"/>
      <c r="AT585" s="5"/>
      <c r="AU585" s="5"/>
    </row>
    <row r="586" ht="15.7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c r="AC586" s="5"/>
      <c r="AD586" s="5"/>
      <c r="AE586" s="5"/>
      <c r="AF586" s="5"/>
      <c r="AG586" s="5"/>
      <c r="AH586" s="5"/>
      <c r="AI586" s="5"/>
      <c r="AJ586" s="5"/>
      <c r="AK586" s="5"/>
      <c r="AL586" s="5"/>
      <c r="AM586" s="5"/>
      <c r="AN586" s="5"/>
      <c r="AO586" s="5"/>
      <c r="AP586" s="5"/>
      <c r="AQ586" s="5"/>
      <c r="AR586" s="5"/>
      <c r="AS586" s="5"/>
      <c r="AT586" s="5"/>
      <c r="AU586" s="5"/>
    </row>
    <row r="587" ht="15.7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c r="AC587" s="5"/>
      <c r="AD587" s="5"/>
      <c r="AE587" s="5"/>
      <c r="AF587" s="5"/>
      <c r="AG587" s="5"/>
      <c r="AH587" s="5"/>
      <c r="AI587" s="5"/>
      <c r="AJ587" s="5"/>
      <c r="AK587" s="5"/>
      <c r="AL587" s="5"/>
      <c r="AM587" s="5"/>
      <c r="AN587" s="5"/>
      <c r="AO587" s="5"/>
      <c r="AP587" s="5"/>
      <c r="AQ587" s="5"/>
      <c r="AR587" s="5"/>
      <c r="AS587" s="5"/>
      <c r="AT587" s="5"/>
      <c r="AU587" s="5"/>
    </row>
    <row r="588" ht="15.7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c r="AC588" s="5"/>
      <c r="AD588" s="5"/>
      <c r="AE588" s="5"/>
      <c r="AF588" s="5"/>
      <c r="AG588" s="5"/>
      <c r="AH588" s="5"/>
      <c r="AI588" s="5"/>
      <c r="AJ588" s="5"/>
      <c r="AK588" s="5"/>
      <c r="AL588" s="5"/>
      <c r="AM588" s="5"/>
      <c r="AN588" s="5"/>
      <c r="AO588" s="5"/>
      <c r="AP588" s="5"/>
      <c r="AQ588" s="5"/>
      <c r="AR588" s="5"/>
      <c r="AS588" s="5"/>
      <c r="AT588" s="5"/>
      <c r="AU588" s="5"/>
    </row>
    <row r="589" ht="15.7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c r="AC589" s="5"/>
      <c r="AD589" s="5"/>
      <c r="AE589" s="5"/>
      <c r="AF589" s="5"/>
      <c r="AG589" s="5"/>
      <c r="AH589" s="5"/>
      <c r="AI589" s="5"/>
      <c r="AJ589" s="5"/>
      <c r="AK589" s="5"/>
      <c r="AL589" s="5"/>
      <c r="AM589" s="5"/>
      <c r="AN589" s="5"/>
      <c r="AO589" s="5"/>
      <c r="AP589" s="5"/>
      <c r="AQ589" s="5"/>
      <c r="AR589" s="5"/>
      <c r="AS589" s="5"/>
      <c r="AT589" s="5"/>
      <c r="AU589" s="5"/>
    </row>
    <row r="590" ht="15.7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c r="AC590" s="5"/>
      <c r="AD590" s="5"/>
      <c r="AE590" s="5"/>
      <c r="AF590" s="5"/>
      <c r="AG590" s="5"/>
      <c r="AH590" s="5"/>
      <c r="AI590" s="5"/>
      <c r="AJ590" s="5"/>
      <c r="AK590" s="5"/>
      <c r="AL590" s="5"/>
      <c r="AM590" s="5"/>
      <c r="AN590" s="5"/>
      <c r="AO590" s="5"/>
      <c r="AP590" s="5"/>
      <c r="AQ590" s="5"/>
      <c r="AR590" s="5"/>
      <c r="AS590" s="5"/>
      <c r="AT590" s="5"/>
      <c r="AU590" s="5"/>
    </row>
    <row r="591" ht="15.7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c r="AC591" s="5"/>
      <c r="AD591" s="5"/>
      <c r="AE591" s="5"/>
      <c r="AF591" s="5"/>
      <c r="AG591" s="5"/>
      <c r="AH591" s="5"/>
      <c r="AI591" s="5"/>
      <c r="AJ591" s="5"/>
      <c r="AK591" s="5"/>
      <c r="AL591" s="5"/>
      <c r="AM591" s="5"/>
      <c r="AN591" s="5"/>
      <c r="AO591" s="5"/>
      <c r="AP591" s="5"/>
      <c r="AQ591" s="5"/>
      <c r="AR591" s="5"/>
      <c r="AS591" s="5"/>
      <c r="AT591" s="5"/>
      <c r="AU591" s="5"/>
    </row>
    <row r="592" ht="15.7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c r="AC592" s="5"/>
      <c r="AD592" s="5"/>
      <c r="AE592" s="5"/>
      <c r="AF592" s="5"/>
      <c r="AG592" s="5"/>
      <c r="AH592" s="5"/>
      <c r="AI592" s="5"/>
      <c r="AJ592" s="5"/>
      <c r="AK592" s="5"/>
      <c r="AL592" s="5"/>
      <c r="AM592" s="5"/>
      <c r="AN592" s="5"/>
      <c r="AO592" s="5"/>
      <c r="AP592" s="5"/>
      <c r="AQ592" s="5"/>
      <c r="AR592" s="5"/>
      <c r="AS592" s="5"/>
      <c r="AT592" s="5"/>
      <c r="AU592" s="5"/>
    </row>
    <row r="593" ht="15.7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c r="AC593" s="5"/>
      <c r="AD593" s="5"/>
      <c r="AE593" s="5"/>
      <c r="AF593" s="5"/>
      <c r="AG593" s="5"/>
      <c r="AH593" s="5"/>
      <c r="AI593" s="5"/>
      <c r="AJ593" s="5"/>
      <c r="AK593" s="5"/>
      <c r="AL593" s="5"/>
      <c r="AM593" s="5"/>
      <c r="AN593" s="5"/>
      <c r="AO593" s="5"/>
      <c r="AP593" s="5"/>
      <c r="AQ593" s="5"/>
      <c r="AR593" s="5"/>
      <c r="AS593" s="5"/>
      <c r="AT593" s="5"/>
      <c r="AU593" s="5"/>
    </row>
    <row r="594" ht="15.7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c r="AC594" s="5"/>
      <c r="AD594" s="5"/>
      <c r="AE594" s="5"/>
      <c r="AF594" s="5"/>
      <c r="AG594" s="5"/>
      <c r="AH594" s="5"/>
      <c r="AI594" s="5"/>
      <c r="AJ594" s="5"/>
      <c r="AK594" s="5"/>
      <c r="AL594" s="5"/>
      <c r="AM594" s="5"/>
      <c r="AN594" s="5"/>
      <c r="AO594" s="5"/>
      <c r="AP594" s="5"/>
      <c r="AQ594" s="5"/>
      <c r="AR594" s="5"/>
      <c r="AS594" s="5"/>
      <c r="AT594" s="5"/>
      <c r="AU594" s="5"/>
    </row>
    <row r="595" ht="15.7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c r="AC595" s="5"/>
      <c r="AD595" s="5"/>
      <c r="AE595" s="5"/>
      <c r="AF595" s="5"/>
      <c r="AG595" s="5"/>
      <c r="AH595" s="5"/>
      <c r="AI595" s="5"/>
      <c r="AJ595" s="5"/>
      <c r="AK595" s="5"/>
      <c r="AL595" s="5"/>
      <c r="AM595" s="5"/>
      <c r="AN595" s="5"/>
      <c r="AO595" s="5"/>
      <c r="AP595" s="5"/>
      <c r="AQ595" s="5"/>
      <c r="AR595" s="5"/>
      <c r="AS595" s="5"/>
      <c r="AT595" s="5"/>
      <c r="AU595" s="5"/>
    </row>
    <row r="596" ht="15.7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c r="AC596" s="5"/>
      <c r="AD596" s="5"/>
      <c r="AE596" s="5"/>
      <c r="AF596" s="5"/>
      <c r="AG596" s="5"/>
      <c r="AH596" s="5"/>
      <c r="AI596" s="5"/>
      <c r="AJ596" s="5"/>
      <c r="AK596" s="5"/>
      <c r="AL596" s="5"/>
      <c r="AM596" s="5"/>
      <c r="AN596" s="5"/>
      <c r="AO596" s="5"/>
      <c r="AP596" s="5"/>
      <c r="AQ596" s="5"/>
      <c r="AR596" s="5"/>
      <c r="AS596" s="5"/>
      <c r="AT596" s="5"/>
      <c r="AU596" s="5"/>
    </row>
    <row r="597" ht="15.7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c r="AC597" s="5"/>
      <c r="AD597" s="5"/>
      <c r="AE597" s="5"/>
      <c r="AF597" s="5"/>
      <c r="AG597" s="5"/>
      <c r="AH597" s="5"/>
      <c r="AI597" s="5"/>
      <c r="AJ597" s="5"/>
      <c r="AK597" s="5"/>
      <c r="AL597" s="5"/>
      <c r="AM597" s="5"/>
      <c r="AN597" s="5"/>
      <c r="AO597" s="5"/>
      <c r="AP597" s="5"/>
      <c r="AQ597" s="5"/>
      <c r="AR597" s="5"/>
      <c r="AS597" s="5"/>
      <c r="AT597" s="5"/>
      <c r="AU597" s="5"/>
    </row>
    <row r="598" ht="15.7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c r="AC598" s="5"/>
      <c r="AD598" s="5"/>
      <c r="AE598" s="5"/>
      <c r="AF598" s="5"/>
      <c r="AG598" s="5"/>
      <c r="AH598" s="5"/>
      <c r="AI598" s="5"/>
      <c r="AJ598" s="5"/>
      <c r="AK598" s="5"/>
      <c r="AL598" s="5"/>
      <c r="AM598" s="5"/>
      <c r="AN598" s="5"/>
      <c r="AO598" s="5"/>
      <c r="AP598" s="5"/>
      <c r="AQ598" s="5"/>
      <c r="AR598" s="5"/>
      <c r="AS598" s="5"/>
      <c r="AT598" s="5"/>
      <c r="AU598" s="5"/>
    </row>
    <row r="599" ht="15.7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c r="AC599" s="5"/>
      <c r="AD599" s="5"/>
      <c r="AE599" s="5"/>
      <c r="AF599" s="5"/>
      <c r="AG599" s="5"/>
      <c r="AH599" s="5"/>
      <c r="AI599" s="5"/>
      <c r="AJ599" s="5"/>
      <c r="AK599" s="5"/>
      <c r="AL599" s="5"/>
      <c r="AM599" s="5"/>
      <c r="AN599" s="5"/>
      <c r="AO599" s="5"/>
      <c r="AP599" s="5"/>
      <c r="AQ599" s="5"/>
      <c r="AR599" s="5"/>
      <c r="AS599" s="5"/>
      <c r="AT599" s="5"/>
      <c r="AU599" s="5"/>
    </row>
    <row r="600" ht="15.7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c r="AC600" s="5"/>
      <c r="AD600" s="5"/>
      <c r="AE600" s="5"/>
      <c r="AF600" s="5"/>
      <c r="AG600" s="5"/>
      <c r="AH600" s="5"/>
      <c r="AI600" s="5"/>
      <c r="AJ600" s="5"/>
      <c r="AK600" s="5"/>
      <c r="AL600" s="5"/>
      <c r="AM600" s="5"/>
      <c r="AN600" s="5"/>
      <c r="AO600" s="5"/>
      <c r="AP600" s="5"/>
      <c r="AQ600" s="5"/>
      <c r="AR600" s="5"/>
      <c r="AS600" s="5"/>
      <c r="AT600" s="5"/>
      <c r="AU600" s="5"/>
    </row>
    <row r="601" ht="15.7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c r="AC601" s="5"/>
      <c r="AD601" s="5"/>
      <c r="AE601" s="5"/>
      <c r="AF601" s="5"/>
      <c r="AG601" s="5"/>
      <c r="AH601" s="5"/>
      <c r="AI601" s="5"/>
      <c r="AJ601" s="5"/>
      <c r="AK601" s="5"/>
      <c r="AL601" s="5"/>
      <c r="AM601" s="5"/>
      <c r="AN601" s="5"/>
      <c r="AO601" s="5"/>
      <c r="AP601" s="5"/>
      <c r="AQ601" s="5"/>
      <c r="AR601" s="5"/>
      <c r="AS601" s="5"/>
      <c r="AT601" s="5"/>
      <c r="AU601" s="5"/>
    </row>
    <row r="602" ht="15.7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c r="AC602" s="5"/>
      <c r="AD602" s="5"/>
      <c r="AE602" s="5"/>
      <c r="AF602" s="5"/>
      <c r="AG602" s="5"/>
      <c r="AH602" s="5"/>
      <c r="AI602" s="5"/>
      <c r="AJ602" s="5"/>
      <c r="AK602" s="5"/>
      <c r="AL602" s="5"/>
      <c r="AM602" s="5"/>
      <c r="AN602" s="5"/>
      <c r="AO602" s="5"/>
      <c r="AP602" s="5"/>
      <c r="AQ602" s="5"/>
      <c r="AR602" s="5"/>
      <c r="AS602" s="5"/>
      <c r="AT602" s="5"/>
      <c r="AU602" s="5"/>
    </row>
    <row r="603" ht="15.7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c r="AC603" s="5"/>
      <c r="AD603" s="5"/>
      <c r="AE603" s="5"/>
      <c r="AF603" s="5"/>
      <c r="AG603" s="5"/>
      <c r="AH603" s="5"/>
      <c r="AI603" s="5"/>
      <c r="AJ603" s="5"/>
      <c r="AK603" s="5"/>
      <c r="AL603" s="5"/>
      <c r="AM603" s="5"/>
      <c r="AN603" s="5"/>
      <c r="AO603" s="5"/>
      <c r="AP603" s="5"/>
      <c r="AQ603" s="5"/>
      <c r="AR603" s="5"/>
      <c r="AS603" s="5"/>
      <c r="AT603" s="5"/>
      <c r="AU603" s="5"/>
    </row>
    <row r="604" ht="15.7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c r="AC604" s="5"/>
      <c r="AD604" s="5"/>
      <c r="AE604" s="5"/>
      <c r="AF604" s="5"/>
      <c r="AG604" s="5"/>
      <c r="AH604" s="5"/>
      <c r="AI604" s="5"/>
      <c r="AJ604" s="5"/>
      <c r="AK604" s="5"/>
      <c r="AL604" s="5"/>
      <c r="AM604" s="5"/>
      <c r="AN604" s="5"/>
      <c r="AO604" s="5"/>
      <c r="AP604" s="5"/>
      <c r="AQ604" s="5"/>
      <c r="AR604" s="5"/>
      <c r="AS604" s="5"/>
      <c r="AT604" s="5"/>
      <c r="AU604" s="5"/>
    </row>
    <row r="605" ht="15.7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c r="AC605" s="5"/>
      <c r="AD605" s="5"/>
      <c r="AE605" s="5"/>
      <c r="AF605" s="5"/>
      <c r="AG605" s="5"/>
      <c r="AH605" s="5"/>
      <c r="AI605" s="5"/>
      <c r="AJ605" s="5"/>
      <c r="AK605" s="5"/>
      <c r="AL605" s="5"/>
      <c r="AM605" s="5"/>
      <c r="AN605" s="5"/>
      <c r="AO605" s="5"/>
      <c r="AP605" s="5"/>
      <c r="AQ605" s="5"/>
      <c r="AR605" s="5"/>
      <c r="AS605" s="5"/>
      <c r="AT605" s="5"/>
      <c r="AU605" s="5"/>
    </row>
    <row r="606" ht="15.7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c r="AC606" s="5"/>
      <c r="AD606" s="5"/>
      <c r="AE606" s="5"/>
      <c r="AF606" s="5"/>
      <c r="AG606" s="5"/>
      <c r="AH606" s="5"/>
      <c r="AI606" s="5"/>
      <c r="AJ606" s="5"/>
      <c r="AK606" s="5"/>
      <c r="AL606" s="5"/>
      <c r="AM606" s="5"/>
      <c r="AN606" s="5"/>
      <c r="AO606" s="5"/>
      <c r="AP606" s="5"/>
      <c r="AQ606" s="5"/>
      <c r="AR606" s="5"/>
      <c r="AS606" s="5"/>
      <c r="AT606" s="5"/>
      <c r="AU606" s="5"/>
    </row>
    <row r="607" ht="15.7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c r="AC607" s="5"/>
      <c r="AD607" s="5"/>
      <c r="AE607" s="5"/>
      <c r="AF607" s="5"/>
      <c r="AG607" s="5"/>
      <c r="AH607" s="5"/>
      <c r="AI607" s="5"/>
      <c r="AJ607" s="5"/>
      <c r="AK607" s="5"/>
      <c r="AL607" s="5"/>
      <c r="AM607" s="5"/>
      <c r="AN607" s="5"/>
      <c r="AO607" s="5"/>
      <c r="AP607" s="5"/>
      <c r="AQ607" s="5"/>
      <c r="AR607" s="5"/>
      <c r="AS607" s="5"/>
      <c r="AT607" s="5"/>
      <c r="AU607" s="5"/>
    </row>
    <row r="608" ht="15.7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c r="AC608" s="5"/>
      <c r="AD608" s="5"/>
      <c r="AE608" s="5"/>
      <c r="AF608" s="5"/>
      <c r="AG608" s="5"/>
      <c r="AH608" s="5"/>
      <c r="AI608" s="5"/>
      <c r="AJ608" s="5"/>
      <c r="AK608" s="5"/>
      <c r="AL608" s="5"/>
      <c r="AM608" s="5"/>
      <c r="AN608" s="5"/>
      <c r="AO608" s="5"/>
      <c r="AP608" s="5"/>
      <c r="AQ608" s="5"/>
      <c r="AR608" s="5"/>
      <c r="AS608" s="5"/>
      <c r="AT608" s="5"/>
      <c r="AU608" s="5"/>
    </row>
    <row r="609" ht="15.7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c r="AC609" s="5"/>
      <c r="AD609" s="5"/>
      <c r="AE609" s="5"/>
      <c r="AF609" s="5"/>
      <c r="AG609" s="5"/>
      <c r="AH609" s="5"/>
      <c r="AI609" s="5"/>
      <c r="AJ609" s="5"/>
      <c r="AK609" s="5"/>
      <c r="AL609" s="5"/>
      <c r="AM609" s="5"/>
      <c r="AN609" s="5"/>
      <c r="AO609" s="5"/>
      <c r="AP609" s="5"/>
      <c r="AQ609" s="5"/>
      <c r="AR609" s="5"/>
      <c r="AS609" s="5"/>
      <c r="AT609" s="5"/>
      <c r="AU609" s="5"/>
    </row>
    <row r="610" ht="15.7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c r="AC610" s="5"/>
      <c r="AD610" s="5"/>
      <c r="AE610" s="5"/>
      <c r="AF610" s="5"/>
      <c r="AG610" s="5"/>
      <c r="AH610" s="5"/>
      <c r="AI610" s="5"/>
      <c r="AJ610" s="5"/>
      <c r="AK610" s="5"/>
      <c r="AL610" s="5"/>
      <c r="AM610" s="5"/>
      <c r="AN610" s="5"/>
      <c r="AO610" s="5"/>
      <c r="AP610" s="5"/>
      <c r="AQ610" s="5"/>
      <c r="AR610" s="5"/>
      <c r="AS610" s="5"/>
      <c r="AT610" s="5"/>
      <c r="AU610" s="5"/>
    </row>
    <row r="611" ht="15.7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c r="AC611" s="5"/>
      <c r="AD611" s="5"/>
      <c r="AE611" s="5"/>
      <c r="AF611" s="5"/>
      <c r="AG611" s="5"/>
      <c r="AH611" s="5"/>
      <c r="AI611" s="5"/>
      <c r="AJ611" s="5"/>
      <c r="AK611" s="5"/>
      <c r="AL611" s="5"/>
      <c r="AM611" s="5"/>
      <c r="AN611" s="5"/>
      <c r="AO611" s="5"/>
      <c r="AP611" s="5"/>
      <c r="AQ611" s="5"/>
      <c r="AR611" s="5"/>
      <c r="AS611" s="5"/>
      <c r="AT611" s="5"/>
      <c r="AU611" s="5"/>
    </row>
    <row r="612" ht="15.7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c r="AC612" s="5"/>
      <c r="AD612" s="5"/>
      <c r="AE612" s="5"/>
      <c r="AF612" s="5"/>
      <c r="AG612" s="5"/>
      <c r="AH612" s="5"/>
      <c r="AI612" s="5"/>
      <c r="AJ612" s="5"/>
      <c r="AK612" s="5"/>
      <c r="AL612" s="5"/>
      <c r="AM612" s="5"/>
      <c r="AN612" s="5"/>
      <c r="AO612" s="5"/>
      <c r="AP612" s="5"/>
      <c r="AQ612" s="5"/>
      <c r="AR612" s="5"/>
      <c r="AS612" s="5"/>
      <c r="AT612" s="5"/>
      <c r="AU612" s="5"/>
    </row>
    <row r="613" ht="15.7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c r="AC613" s="5"/>
      <c r="AD613" s="5"/>
      <c r="AE613" s="5"/>
      <c r="AF613" s="5"/>
      <c r="AG613" s="5"/>
      <c r="AH613" s="5"/>
      <c r="AI613" s="5"/>
      <c r="AJ613" s="5"/>
      <c r="AK613" s="5"/>
      <c r="AL613" s="5"/>
      <c r="AM613" s="5"/>
      <c r="AN613" s="5"/>
      <c r="AO613" s="5"/>
      <c r="AP613" s="5"/>
      <c r="AQ613" s="5"/>
      <c r="AR613" s="5"/>
      <c r="AS613" s="5"/>
      <c r="AT613" s="5"/>
      <c r="AU613" s="5"/>
    </row>
    <row r="614" ht="15.7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c r="AC614" s="5"/>
      <c r="AD614" s="5"/>
      <c r="AE614" s="5"/>
      <c r="AF614" s="5"/>
      <c r="AG614" s="5"/>
      <c r="AH614" s="5"/>
      <c r="AI614" s="5"/>
      <c r="AJ614" s="5"/>
      <c r="AK614" s="5"/>
      <c r="AL614" s="5"/>
      <c r="AM614" s="5"/>
      <c r="AN614" s="5"/>
      <c r="AO614" s="5"/>
      <c r="AP614" s="5"/>
      <c r="AQ614" s="5"/>
      <c r="AR614" s="5"/>
      <c r="AS614" s="5"/>
      <c r="AT614" s="5"/>
      <c r="AU614" s="5"/>
    </row>
    <row r="615" ht="15.7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c r="AC615" s="5"/>
      <c r="AD615" s="5"/>
      <c r="AE615" s="5"/>
      <c r="AF615" s="5"/>
      <c r="AG615" s="5"/>
      <c r="AH615" s="5"/>
      <c r="AI615" s="5"/>
      <c r="AJ615" s="5"/>
      <c r="AK615" s="5"/>
      <c r="AL615" s="5"/>
      <c r="AM615" s="5"/>
      <c r="AN615" s="5"/>
      <c r="AO615" s="5"/>
      <c r="AP615" s="5"/>
      <c r="AQ615" s="5"/>
      <c r="AR615" s="5"/>
      <c r="AS615" s="5"/>
      <c r="AT615" s="5"/>
      <c r="AU615" s="5"/>
    </row>
    <row r="616" ht="15.7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c r="AC616" s="5"/>
      <c r="AD616" s="5"/>
      <c r="AE616" s="5"/>
      <c r="AF616" s="5"/>
      <c r="AG616" s="5"/>
      <c r="AH616" s="5"/>
      <c r="AI616" s="5"/>
      <c r="AJ616" s="5"/>
      <c r="AK616" s="5"/>
      <c r="AL616" s="5"/>
      <c r="AM616" s="5"/>
      <c r="AN616" s="5"/>
      <c r="AO616" s="5"/>
      <c r="AP616" s="5"/>
      <c r="AQ616" s="5"/>
      <c r="AR616" s="5"/>
      <c r="AS616" s="5"/>
      <c r="AT616" s="5"/>
      <c r="AU616" s="5"/>
    </row>
    <row r="617" ht="15.7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c r="AC617" s="5"/>
      <c r="AD617" s="5"/>
      <c r="AE617" s="5"/>
      <c r="AF617" s="5"/>
      <c r="AG617" s="5"/>
      <c r="AH617" s="5"/>
      <c r="AI617" s="5"/>
      <c r="AJ617" s="5"/>
      <c r="AK617" s="5"/>
      <c r="AL617" s="5"/>
      <c r="AM617" s="5"/>
      <c r="AN617" s="5"/>
      <c r="AO617" s="5"/>
      <c r="AP617" s="5"/>
      <c r="AQ617" s="5"/>
      <c r="AR617" s="5"/>
      <c r="AS617" s="5"/>
      <c r="AT617" s="5"/>
      <c r="AU617" s="5"/>
    </row>
    <row r="618" ht="15.7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c r="AC618" s="5"/>
      <c r="AD618" s="5"/>
      <c r="AE618" s="5"/>
      <c r="AF618" s="5"/>
      <c r="AG618" s="5"/>
      <c r="AH618" s="5"/>
      <c r="AI618" s="5"/>
      <c r="AJ618" s="5"/>
      <c r="AK618" s="5"/>
      <c r="AL618" s="5"/>
      <c r="AM618" s="5"/>
      <c r="AN618" s="5"/>
      <c r="AO618" s="5"/>
      <c r="AP618" s="5"/>
      <c r="AQ618" s="5"/>
      <c r="AR618" s="5"/>
      <c r="AS618" s="5"/>
      <c r="AT618" s="5"/>
      <c r="AU618" s="5"/>
    </row>
    <row r="619" ht="15.7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c r="AC619" s="5"/>
      <c r="AD619" s="5"/>
      <c r="AE619" s="5"/>
      <c r="AF619" s="5"/>
      <c r="AG619" s="5"/>
      <c r="AH619" s="5"/>
      <c r="AI619" s="5"/>
      <c r="AJ619" s="5"/>
      <c r="AK619" s="5"/>
      <c r="AL619" s="5"/>
      <c r="AM619" s="5"/>
      <c r="AN619" s="5"/>
      <c r="AO619" s="5"/>
      <c r="AP619" s="5"/>
      <c r="AQ619" s="5"/>
      <c r="AR619" s="5"/>
      <c r="AS619" s="5"/>
      <c r="AT619" s="5"/>
      <c r="AU619" s="5"/>
    </row>
    <row r="620" ht="15.7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c r="AC620" s="5"/>
      <c r="AD620" s="5"/>
      <c r="AE620" s="5"/>
      <c r="AF620" s="5"/>
      <c r="AG620" s="5"/>
      <c r="AH620" s="5"/>
      <c r="AI620" s="5"/>
      <c r="AJ620" s="5"/>
      <c r="AK620" s="5"/>
      <c r="AL620" s="5"/>
      <c r="AM620" s="5"/>
      <c r="AN620" s="5"/>
      <c r="AO620" s="5"/>
      <c r="AP620" s="5"/>
      <c r="AQ620" s="5"/>
      <c r="AR620" s="5"/>
      <c r="AS620" s="5"/>
      <c r="AT620" s="5"/>
      <c r="AU620" s="5"/>
    </row>
    <row r="621" ht="15.7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c r="AC621" s="5"/>
      <c r="AD621" s="5"/>
      <c r="AE621" s="5"/>
      <c r="AF621" s="5"/>
      <c r="AG621" s="5"/>
      <c r="AH621" s="5"/>
      <c r="AI621" s="5"/>
      <c r="AJ621" s="5"/>
      <c r="AK621" s="5"/>
      <c r="AL621" s="5"/>
      <c r="AM621" s="5"/>
      <c r="AN621" s="5"/>
      <c r="AO621" s="5"/>
      <c r="AP621" s="5"/>
      <c r="AQ621" s="5"/>
      <c r="AR621" s="5"/>
      <c r="AS621" s="5"/>
      <c r="AT621" s="5"/>
      <c r="AU621" s="5"/>
    </row>
    <row r="622" ht="15.7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c r="AC622" s="5"/>
      <c r="AD622" s="5"/>
      <c r="AE622" s="5"/>
      <c r="AF622" s="5"/>
      <c r="AG622" s="5"/>
      <c r="AH622" s="5"/>
      <c r="AI622" s="5"/>
      <c r="AJ622" s="5"/>
      <c r="AK622" s="5"/>
      <c r="AL622" s="5"/>
      <c r="AM622" s="5"/>
      <c r="AN622" s="5"/>
      <c r="AO622" s="5"/>
      <c r="AP622" s="5"/>
      <c r="AQ622" s="5"/>
      <c r="AR622" s="5"/>
      <c r="AS622" s="5"/>
      <c r="AT622" s="5"/>
      <c r="AU622" s="5"/>
    </row>
    <row r="623" ht="15.7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c r="AC623" s="5"/>
      <c r="AD623" s="5"/>
      <c r="AE623" s="5"/>
      <c r="AF623" s="5"/>
      <c r="AG623" s="5"/>
      <c r="AH623" s="5"/>
      <c r="AI623" s="5"/>
      <c r="AJ623" s="5"/>
      <c r="AK623" s="5"/>
      <c r="AL623" s="5"/>
      <c r="AM623" s="5"/>
      <c r="AN623" s="5"/>
      <c r="AO623" s="5"/>
      <c r="AP623" s="5"/>
      <c r="AQ623" s="5"/>
      <c r="AR623" s="5"/>
      <c r="AS623" s="5"/>
      <c r="AT623" s="5"/>
      <c r="AU623" s="5"/>
    </row>
    <row r="624" ht="15.7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c r="AC624" s="5"/>
      <c r="AD624" s="5"/>
      <c r="AE624" s="5"/>
      <c r="AF624" s="5"/>
      <c r="AG624" s="5"/>
      <c r="AH624" s="5"/>
      <c r="AI624" s="5"/>
      <c r="AJ624" s="5"/>
      <c r="AK624" s="5"/>
      <c r="AL624" s="5"/>
      <c r="AM624" s="5"/>
      <c r="AN624" s="5"/>
      <c r="AO624" s="5"/>
      <c r="AP624" s="5"/>
      <c r="AQ624" s="5"/>
      <c r="AR624" s="5"/>
      <c r="AS624" s="5"/>
      <c r="AT624" s="5"/>
      <c r="AU624" s="5"/>
    </row>
    <row r="625" ht="15.7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c r="AC625" s="5"/>
      <c r="AD625" s="5"/>
      <c r="AE625" s="5"/>
      <c r="AF625" s="5"/>
      <c r="AG625" s="5"/>
      <c r="AH625" s="5"/>
      <c r="AI625" s="5"/>
      <c r="AJ625" s="5"/>
      <c r="AK625" s="5"/>
      <c r="AL625" s="5"/>
      <c r="AM625" s="5"/>
      <c r="AN625" s="5"/>
      <c r="AO625" s="5"/>
      <c r="AP625" s="5"/>
      <c r="AQ625" s="5"/>
      <c r="AR625" s="5"/>
      <c r="AS625" s="5"/>
      <c r="AT625" s="5"/>
      <c r="AU625" s="5"/>
    </row>
    <row r="626" ht="15.7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c r="AC626" s="5"/>
      <c r="AD626" s="5"/>
      <c r="AE626" s="5"/>
      <c r="AF626" s="5"/>
      <c r="AG626" s="5"/>
      <c r="AH626" s="5"/>
      <c r="AI626" s="5"/>
      <c r="AJ626" s="5"/>
      <c r="AK626" s="5"/>
      <c r="AL626" s="5"/>
      <c r="AM626" s="5"/>
      <c r="AN626" s="5"/>
      <c r="AO626" s="5"/>
      <c r="AP626" s="5"/>
      <c r="AQ626" s="5"/>
      <c r="AR626" s="5"/>
      <c r="AS626" s="5"/>
      <c r="AT626" s="5"/>
      <c r="AU626" s="5"/>
    </row>
    <row r="627" ht="15.7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c r="AC627" s="5"/>
      <c r="AD627" s="5"/>
      <c r="AE627" s="5"/>
      <c r="AF627" s="5"/>
      <c r="AG627" s="5"/>
      <c r="AH627" s="5"/>
      <c r="AI627" s="5"/>
      <c r="AJ627" s="5"/>
      <c r="AK627" s="5"/>
      <c r="AL627" s="5"/>
      <c r="AM627" s="5"/>
      <c r="AN627" s="5"/>
      <c r="AO627" s="5"/>
      <c r="AP627" s="5"/>
      <c r="AQ627" s="5"/>
      <c r="AR627" s="5"/>
      <c r="AS627" s="5"/>
      <c r="AT627" s="5"/>
      <c r="AU627" s="5"/>
    </row>
    <row r="628" ht="15.7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c r="AC628" s="5"/>
      <c r="AD628" s="5"/>
      <c r="AE628" s="5"/>
      <c r="AF628" s="5"/>
      <c r="AG628" s="5"/>
      <c r="AH628" s="5"/>
      <c r="AI628" s="5"/>
      <c r="AJ628" s="5"/>
      <c r="AK628" s="5"/>
      <c r="AL628" s="5"/>
      <c r="AM628" s="5"/>
      <c r="AN628" s="5"/>
      <c r="AO628" s="5"/>
      <c r="AP628" s="5"/>
      <c r="AQ628" s="5"/>
      <c r="AR628" s="5"/>
      <c r="AS628" s="5"/>
      <c r="AT628" s="5"/>
      <c r="AU628" s="5"/>
    </row>
    <row r="629" ht="15.7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c r="AC629" s="5"/>
      <c r="AD629" s="5"/>
      <c r="AE629" s="5"/>
      <c r="AF629" s="5"/>
      <c r="AG629" s="5"/>
      <c r="AH629" s="5"/>
      <c r="AI629" s="5"/>
      <c r="AJ629" s="5"/>
      <c r="AK629" s="5"/>
      <c r="AL629" s="5"/>
      <c r="AM629" s="5"/>
      <c r="AN629" s="5"/>
      <c r="AO629" s="5"/>
      <c r="AP629" s="5"/>
      <c r="AQ629" s="5"/>
      <c r="AR629" s="5"/>
      <c r="AS629" s="5"/>
      <c r="AT629" s="5"/>
      <c r="AU629" s="5"/>
    </row>
    <row r="630" ht="15.7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c r="AC630" s="5"/>
      <c r="AD630" s="5"/>
      <c r="AE630" s="5"/>
      <c r="AF630" s="5"/>
      <c r="AG630" s="5"/>
      <c r="AH630" s="5"/>
      <c r="AI630" s="5"/>
      <c r="AJ630" s="5"/>
      <c r="AK630" s="5"/>
      <c r="AL630" s="5"/>
      <c r="AM630" s="5"/>
      <c r="AN630" s="5"/>
      <c r="AO630" s="5"/>
      <c r="AP630" s="5"/>
      <c r="AQ630" s="5"/>
      <c r="AR630" s="5"/>
      <c r="AS630" s="5"/>
      <c r="AT630" s="5"/>
      <c r="AU630" s="5"/>
    </row>
    <row r="631" ht="15.7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c r="AC631" s="5"/>
      <c r="AD631" s="5"/>
      <c r="AE631" s="5"/>
      <c r="AF631" s="5"/>
      <c r="AG631" s="5"/>
      <c r="AH631" s="5"/>
      <c r="AI631" s="5"/>
      <c r="AJ631" s="5"/>
      <c r="AK631" s="5"/>
      <c r="AL631" s="5"/>
      <c r="AM631" s="5"/>
      <c r="AN631" s="5"/>
      <c r="AO631" s="5"/>
      <c r="AP631" s="5"/>
      <c r="AQ631" s="5"/>
      <c r="AR631" s="5"/>
      <c r="AS631" s="5"/>
      <c r="AT631" s="5"/>
      <c r="AU631" s="5"/>
    </row>
    <row r="632" ht="15.7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c r="AC632" s="5"/>
      <c r="AD632" s="5"/>
      <c r="AE632" s="5"/>
      <c r="AF632" s="5"/>
      <c r="AG632" s="5"/>
      <c r="AH632" s="5"/>
      <c r="AI632" s="5"/>
      <c r="AJ632" s="5"/>
      <c r="AK632" s="5"/>
      <c r="AL632" s="5"/>
      <c r="AM632" s="5"/>
      <c r="AN632" s="5"/>
      <c r="AO632" s="5"/>
      <c r="AP632" s="5"/>
      <c r="AQ632" s="5"/>
      <c r="AR632" s="5"/>
      <c r="AS632" s="5"/>
      <c r="AT632" s="5"/>
      <c r="AU632" s="5"/>
    </row>
    <row r="633" ht="15.7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c r="AC633" s="5"/>
      <c r="AD633" s="5"/>
      <c r="AE633" s="5"/>
      <c r="AF633" s="5"/>
      <c r="AG633" s="5"/>
      <c r="AH633" s="5"/>
      <c r="AI633" s="5"/>
      <c r="AJ633" s="5"/>
      <c r="AK633" s="5"/>
      <c r="AL633" s="5"/>
      <c r="AM633" s="5"/>
      <c r="AN633" s="5"/>
      <c r="AO633" s="5"/>
      <c r="AP633" s="5"/>
      <c r="AQ633" s="5"/>
      <c r="AR633" s="5"/>
      <c r="AS633" s="5"/>
      <c r="AT633" s="5"/>
      <c r="AU633" s="5"/>
    </row>
    <row r="634" ht="15.7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c r="AC634" s="5"/>
      <c r="AD634" s="5"/>
      <c r="AE634" s="5"/>
      <c r="AF634" s="5"/>
      <c r="AG634" s="5"/>
      <c r="AH634" s="5"/>
      <c r="AI634" s="5"/>
      <c r="AJ634" s="5"/>
      <c r="AK634" s="5"/>
      <c r="AL634" s="5"/>
      <c r="AM634" s="5"/>
      <c r="AN634" s="5"/>
      <c r="AO634" s="5"/>
      <c r="AP634" s="5"/>
      <c r="AQ634" s="5"/>
      <c r="AR634" s="5"/>
      <c r="AS634" s="5"/>
      <c r="AT634" s="5"/>
      <c r="AU634" s="5"/>
    </row>
    <row r="635" ht="15.7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c r="AC635" s="5"/>
      <c r="AD635" s="5"/>
      <c r="AE635" s="5"/>
      <c r="AF635" s="5"/>
      <c r="AG635" s="5"/>
      <c r="AH635" s="5"/>
      <c r="AI635" s="5"/>
      <c r="AJ635" s="5"/>
      <c r="AK635" s="5"/>
      <c r="AL635" s="5"/>
      <c r="AM635" s="5"/>
      <c r="AN635" s="5"/>
      <c r="AO635" s="5"/>
      <c r="AP635" s="5"/>
      <c r="AQ635" s="5"/>
      <c r="AR635" s="5"/>
      <c r="AS635" s="5"/>
      <c r="AT635" s="5"/>
      <c r="AU635" s="5"/>
    </row>
    <row r="636" ht="15.7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c r="AC636" s="5"/>
      <c r="AD636" s="5"/>
      <c r="AE636" s="5"/>
      <c r="AF636" s="5"/>
      <c r="AG636" s="5"/>
      <c r="AH636" s="5"/>
      <c r="AI636" s="5"/>
      <c r="AJ636" s="5"/>
      <c r="AK636" s="5"/>
      <c r="AL636" s="5"/>
      <c r="AM636" s="5"/>
      <c r="AN636" s="5"/>
      <c r="AO636" s="5"/>
      <c r="AP636" s="5"/>
      <c r="AQ636" s="5"/>
      <c r="AR636" s="5"/>
      <c r="AS636" s="5"/>
      <c r="AT636" s="5"/>
      <c r="AU636" s="5"/>
    </row>
    <row r="637" ht="15.7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c r="AC637" s="5"/>
      <c r="AD637" s="5"/>
      <c r="AE637" s="5"/>
      <c r="AF637" s="5"/>
      <c r="AG637" s="5"/>
      <c r="AH637" s="5"/>
      <c r="AI637" s="5"/>
      <c r="AJ637" s="5"/>
      <c r="AK637" s="5"/>
      <c r="AL637" s="5"/>
      <c r="AM637" s="5"/>
      <c r="AN637" s="5"/>
      <c r="AO637" s="5"/>
      <c r="AP637" s="5"/>
      <c r="AQ637" s="5"/>
      <c r="AR637" s="5"/>
      <c r="AS637" s="5"/>
      <c r="AT637" s="5"/>
      <c r="AU637" s="5"/>
    </row>
    <row r="638" ht="15.7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c r="AC638" s="5"/>
      <c r="AD638" s="5"/>
      <c r="AE638" s="5"/>
      <c r="AF638" s="5"/>
      <c r="AG638" s="5"/>
      <c r="AH638" s="5"/>
      <c r="AI638" s="5"/>
      <c r="AJ638" s="5"/>
      <c r="AK638" s="5"/>
      <c r="AL638" s="5"/>
      <c r="AM638" s="5"/>
      <c r="AN638" s="5"/>
      <c r="AO638" s="5"/>
      <c r="AP638" s="5"/>
      <c r="AQ638" s="5"/>
      <c r="AR638" s="5"/>
      <c r="AS638" s="5"/>
      <c r="AT638" s="5"/>
      <c r="AU638" s="5"/>
    </row>
    <row r="639" ht="15.7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c r="AC639" s="5"/>
      <c r="AD639" s="5"/>
      <c r="AE639" s="5"/>
      <c r="AF639" s="5"/>
      <c r="AG639" s="5"/>
      <c r="AH639" s="5"/>
      <c r="AI639" s="5"/>
      <c r="AJ639" s="5"/>
      <c r="AK639" s="5"/>
      <c r="AL639" s="5"/>
      <c r="AM639" s="5"/>
      <c r="AN639" s="5"/>
      <c r="AO639" s="5"/>
      <c r="AP639" s="5"/>
      <c r="AQ639" s="5"/>
      <c r="AR639" s="5"/>
      <c r="AS639" s="5"/>
      <c r="AT639" s="5"/>
      <c r="AU639" s="5"/>
    </row>
    <row r="640" ht="15.7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c r="AC640" s="5"/>
      <c r="AD640" s="5"/>
      <c r="AE640" s="5"/>
      <c r="AF640" s="5"/>
      <c r="AG640" s="5"/>
      <c r="AH640" s="5"/>
      <c r="AI640" s="5"/>
      <c r="AJ640" s="5"/>
      <c r="AK640" s="5"/>
      <c r="AL640" s="5"/>
      <c r="AM640" s="5"/>
      <c r="AN640" s="5"/>
      <c r="AO640" s="5"/>
      <c r="AP640" s="5"/>
      <c r="AQ640" s="5"/>
      <c r="AR640" s="5"/>
      <c r="AS640" s="5"/>
      <c r="AT640" s="5"/>
      <c r="AU640" s="5"/>
    </row>
    <row r="641" ht="15.7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c r="AC641" s="5"/>
      <c r="AD641" s="5"/>
      <c r="AE641" s="5"/>
      <c r="AF641" s="5"/>
      <c r="AG641" s="5"/>
      <c r="AH641" s="5"/>
      <c r="AI641" s="5"/>
      <c r="AJ641" s="5"/>
      <c r="AK641" s="5"/>
      <c r="AL641" s="5"/>
      <c r="AM641" s="5"/>
      <c r="AN641" s="5"/>
      <c r="AO641" s="5"/>
      <c r="AP641" s="5"/>
      <c r="AQ641" s="5"/>
      <c r="AR641" s="5"/>
      <c r="AS641" s="5"/>
      <c r="AT641" s="5"/>
      <c r="AU641" s="5"/>
    </row>
    <row r="642" ht="15.7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c r="AC642" s="5"/>
      <c r="AD642" s="5"/>
      <c r="AE642" s="5"/>
      <c r="AF642" s="5"/>
      <c r="AG642" s="5"/>
      <c r="AH642" s="5"/>
      <c r="AI642" s="5"/>
      <c r="AJ642" s="5"/>
      <c r="AK642" s="5"/>
      <c r="AL642" s="5"/>
      <c r="AM642" s="5"/>
      <c r="AN642" s="5"/>
      <c r="AO642" s="5"/>
      <c r="AP642" s="5"/>
      <c r="AQ642" s="5"/>
      <c r="AR642" s="5"/>
      <c r="AS642" s="5"/>
      <c r="AT642" s="5"/>
      <c r="AU642" s="5"/>
    </row>
    <row r="643" ht="15.7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c r="AC643" s="5"/>
      <c r="AD643" s="5"/>
      <c r="AE643" s="5"/>
      <c r="AF643" s="5"/>
      <c r="AG643" s="5"/>
      <c r="AH643" s="5"/>
      <c r="AI643" s="5"/>
      <c r="AJ643" s="5"/>
      <c r="AK643" s="5"/>
      <c r="AL643" s="5"/>
      <c r="AM643" s="5"/>
      <c r="AN643" s="5"/>
      <c r="AO643" s="5"/>
      <c r="AP643" s="5"/>
      <c r="AQ643" s="5"/>
      <c r="AR643" s="5"/>
      <c r="AS643" s="5"/>
      <c r="AT643" s="5"/>
      <c r="AU643" s="5"/>
    </row>
    <row r="644" ht="15.7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c r="AC644" s="5"/>
      <c r="AD644" s="5"/>
      <c r="AE644" s="5"/>
      <c r="AF644" s="5"/>
      <c r="AG644" s="5"/>
      <c r="AH644" s="5"/>
      <c r="AI644" s="5"/>
      <c r="AJ644" s="5"/>
      <c r="AK644" s="5"/>
      <c r="AL644" s="5"/>
      <c r="AM644" s="5"/>
      <c r="AN644" s="5"/>
      <c r="AO644" s="5"/>
      <c r="AP644" s="5"/>
      <c r="AQ644" s="5"/>
      <c r="AR644" s="5"/>
      <c r="AS644" s="5"/>
      <c r="AT644" s="5"/>
      <c r="AU644" s="5"/>
    </row>
    <row r="645" ht="15.7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c r="AC645" s="5"/>
      <c r="AD645" s="5"/>
      <c r="AE645" s="5"/>
      <c r="AF645" s="5"/>
      <c r="AG645" s="5"/>
      <c r="AH645" s="5"/>
      <c r="AI645" s="5"/>
      <c r="AJ645" s="5"/>
      <c r="AK645" s="5"/>
      <c r="AL645" s="5"/>
      <c r="AM645" s="5"/>
      <c r="AN645" s="5"/>
      <c r="AO645" s="5"/>
      <c r="AP645" s="5"/>
      <c r="AQ645" s="5"/>
      <c r="AR645" s="5"/>
      <c r="AS645" s="5"/>
      <c r="AT645" s="5"/>
      <c r="AU645" s="5"/>
    </row>
    <row r="646" ht="15.7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c r="AC646" s="5"/>
      <c r="AD646" s="5"/>
      <c r="AE646" s="5"/>
      <c r="AF646" s="5"/>
      <c r="AG646" s="5"/>
      <c r="AH646" s="5"/>
      <c r="AI646" s="5"/>
      <c r="AJ646" s="5"/>
      <c r="AK646" s="5"/>
      <c r="AL646" s="5"/>
      <c r="AM646" s="5"/>
      <c r="AN646" s="5"/>
      <c r="AO646" s="5"/>
      <c r="AP646" s="5"/>
      <c r="AQ646" s="5"/>
      <c r="AR646" s="5"/>
      <c r="AS646" s="5"/>
      <c r="AT646" s="5"/>
      <c r="AU646" s="5"/>
    </row>
    <row r="647" ht="15.7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c r="AC647" s="5"/>
      <c r="AD647" s="5"/>
      <c r="AE647" s="5"/>
      <c r="AF647" s="5"/>
      <c r="AG647" s="5"/>
      <c r="AH647" s="5"/>
      <c r="AI647" s="5"/>
      <c r="AJ647" s="5"/>
      <c r="AK647" s="5"/>
      <c r="AL647" s="5"/>
      <c r="AM647" s="5"/>
      <c r="AN647" s="5"/>
      <c r="AO647" s="5"/>
      <c r="AP647" s="5"/>
      <c r="AQ647" s="5"/>
      <c r="AR647" s="5"/>
      <c r="AS647" s="5"/>
      <c r="AT647" s="5"/>
      <c r="AU647" s="5"/>
    </row>
    <row r="648" ht="15.7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c r="AC648" s="5"/>
      <c r="AD648" s="5"/>
      <c r="AE648" s="5"/>
      <c r="AF648" s="5"/>
      <c r="AG648" s="5"/>
      <c r="AH648" s="5"/>
      <c r="AI648" s="5"/>
      <c r="AJ648" s="5"/>
      <c r="AK648" s="5"/>
      <c r="AL648" s="5"/>
      <c r="AM648" s="5"/>
      <c r="AN648" s="5"/>
      <c r="AO648" s="5"/>
      <c r="AP648" s="5"/>
      <c r="AQ648" s="5"/>
      <c r="AR648" s="5"/>
      <c r="AS648" s="5"/>
      <c r="AT648" s="5"/>
      <c r="AU648" s="5"/>
    </row>
    <row r="649" ht="15.7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c r="AC649" s="5"/>
      <c r="AD649" s="5"/>
      <c r="AE649" s="5"/>
      <c r="AF649" s="5"/>
      <c r="AG649" s="5"/>
      <c r="AH649" s="5"/>
      <c r="AI649" s="5"/>
      <c r="AJ649" s="5"/>
      <c r="AK649" s="5"/>
      <c r="AL649" s="5"/>
      <c r="AM649" s="5"/>
      <c r="AN649" s="5"/>
      <c r="AO649" s="5"/>
      <c r="AP649" s="5"/>
      <c r="AQ649" s="5"/>
      <c r="AR649" s="5"/>
      <c r="AS649" s="5"/>
      <c r="AT649" s="5"/>
      <c r="AU649" s="5"/>
    </row>
    <row r="650" ht="15.7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c r="AC650" s="5"/>
      <c r="AD650" s="5"/>
      <c r="AE650" s="5"/>
      <c r="AF650" s="5"/>
      <c r="AG650" s="5"/>
      <c r="AH650" s="5"/>
      <c r="AI650" s="5"/>
      <c r="AJ650" s="5"/>
      <c r="AK650" s="5"/>
      <c r="AL650" s="5"/>
      <c r="AM650" s="5"/>
      <c r="AN650" s="5"/>
      <c r="AO650" s="5"/>
      <c r="AP650" s="5"/>
      <c r="AQ650" s="5"/>
      <c r="AR650" s="5"/>
      <c r="AS650" s="5"/>
      <c r="AT650" s="5"/>
      <c r="AU650" s="5"/>
    </row>
    <row r="651" ht="15.7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c r="AC651" s="5"/>
      <c r="AD651" s="5"/>
      <c r="AE651" s="5"/>
      <c r="AF651" s="5"/>
      <c r="AG651" s="5"/>
      <c r="AH651" s="5"/>
      <c r="AI651" s="5"/>
      <c r="AJ651" s="5"/>
      <c r="AK651" s="5"/>
      <c r="AL651" s="5"/>
      <c r="AM651" s="5"/>
      <c r="AN651" s="5"/>
      <c r="AO651" s="5"/>
      <c r="AP651" s="5"/>
      <c r="AQ651" s="5"/>
      <c r="AR651" s="5"/>
      <c r="AS651" s="5"/>
      <c r="AT651" s="5"/>
      <c r="AU651" s="5"/>
    </row>
    <row r="652" ht="15.7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c r="AC652" s="5"/>
      <c r="AD652" s="5"/>
      <c r="AE652" s="5"/>
      <c r="AF652" s="5"/>
      <c r="AG652" s="5"/>
      <c r="AH652" s="5"/>
      <c r="AI652" s="5"/>
      <c r="AJ652" s="5"/>
      <c r="AK652" s="5"/>
      <c r="AL652" s="5"/>
      <c r="AM652" s="5"/>
      <c r="AN652" s="5"/>
      <c r="AO652" s="5"/>
      <c r="AP652" s="5"/>
      <c r="AQ652" s="5"/>
      <c r="AR652" s="5"/>
      <c r="AS652" s="5"/>
      <c r="AT652" s="5"/>
      <c r="AU652" s="5"/>
    </row>
    <row r="653" ht="15.7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c r="AC653" s="5"/>
      <c r="AD653" s="5"/>
      <c r="AE653" s="5"/>
      <c r="AF653" s="5"/>
      <c r="AG653" s="5"/>
      <c r="AH653" s="5"/>
      <c r="AI653" s="5"/>
      <c r="AJ653" s="5"/>
      <c r="AK653" s="5"/>
      <c r="AL653" s="5"/>
      <c r="AM653" s="5"/>
      <c r="AN653" s="5"/>
      <c r="AO653" s="5"/>
      <c r="AP653" s="5"/>
      <c r="AQ653" s="5"/>
      <c r="AR653" s="5"/>
      <c r="AS653" s="5"/>
      <c r="AT653" s="5"/>
      <c r="AU653" s="5"/>
    </row>
    <row r="654" ht="15.7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c r="AC654" s="5"/>
      <c r="AD654" s="5"/>
      <c r="AE654" s="5"/>
      <c r="AF654" s="5"/>
      <c r="AG654" s="5"/>
      <c r="AH654" s="5"/>
      <c r="AI654" s="5"/>
      <c r="AJ654" s="5"/>
      <c r="AK654" s="5"/>
      <c r="AL654" s="5"/>
      <c r="AM654" s="5"/>
      <c r="AN654" s="5"/>
      <c r="AO654" s="5"/>
      <c r="AP654" s="5"/>
      <c r="AQ654" s="5"/>
      <c r="AR654" s="5"/>
      <c r="AS654" s="5"/>
      <c r="AT654" s="5"/>
      <c r="AU654" s="5"/>
    </row>
    <row r="655" ht="15.7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c r="AC655" s="5"/>
      <c r="AD655" s="5"/>
      <c r="AE655" s="5"/>
      <c r="AF655" s="5"/>
      <c r="AG655" s="5"/>
      <c r="AH655" s="5"/>
      <c r="AI655" s="5"/>
      <c r="AJ655" s="5"/>
      <c r="AK655" s="5"/>
      <c r="AL655" s="5"/>
      <c r="AM655" s="5"/>
      <c r="AN655" s="5"/>
      <c r="AO655" s="5"/>
      <c r="AP655" s="5"/>
      <c r="AQ655" s="5"/>
      <c r="AR655" s="5"/>
      <c r="AS655" s="5"/>
      <c r="AT655" s="5"/>
      <c r="AU655" s="5"/>
    </row>
    <row r="656" ht="15.7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c r="AC656" s="5"/>
      <c r="AD656" s="5"/>
      <c r="AE656" s="5"/>
      <c r="AF656" s="5"/>
      <c r="AG656" s="5"/>
      <c r="AH656" s="5"/>
      <c r="AI656" s="5"/>
      <c r="AJ656" s="5"/>
      <c r="AK656" s="5"/>
      <c r="AL656" s="5"/>
      <c r="AM656" s="5"/>
      <c r="AN656" s="5"/>
      <c r="AO656" s="5"/>
      <c r="AP656" s="5"/>
      <c r="AQ656" s="5"/>
      <c r="AR656" s="5"/>
      <c r="AS656" s="5"/>
      <c r="AT656" s="5"/>
      <c r="AU656" s="5"/>
    </row>
    <row r="657" ht="15.7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c r="AC657" s="5"/>
      <c r="AD657" s="5"/>
      <c r="AE657" s="5"/>
      <c r="AF657" s="5"/>
      <c r="AG657" s="5"/>
      <c r="AH657" s="5"/>
      <c r="AI657" s="5"/>
      <c r="AJ657" s="5"/>
      <c r="AK657" s="5"/>
      <c r="AL657" s="5"/>
      <c r="AM657" s="5"/>
      <c r="AN657" s="5"/>
      <c r="AO657" s="5"/>
      <c r="AP657" s="5"/>
      <c r="AQ657" s="5"/>
      <c r="AR657" s="5"/>
      <c r="AS657" s="5"/>
      <c r="AT657" s="5"/>
      <c r="AU657" s="5"/>
    </row>
    <row r="658" ht="15.7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c r="AC658" s="5"/>
      <c r="AD658" s="5"/>
      <c r="AE658" s="5"/>
      <c r="AF658" s="5"/>
      <c r="AG658" s="5"/>
      <c r="AH658" s="5"/>
      <c r="AI658" s="5"/>
      <c r="AJ658" s="5"/>
      <c r="AK658" s="5"/>
      <c r="AL658" s="5"/>
      <c r="AM658" s="5"/>
      <c r="AN658" s="5"/>
      <c r="AO658" s="5"/>
      <c r="AP658" s="5"/>
      <c r="AQ658" s="5"/>
      <c r="AR658" s="5"/>
      <c r="AS658" s="5"/>
      <c r="AT658" s="5"/>
      <c r="AU658" s="5"/>
    </row>
    <row r="659" ht="15.7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c r="AC659" s="5"/>
      <c r="AD659" s="5"/>
      <c r="AE659" s="5"/>
      <c r="AF659" s="5"/>
      <c r="AG659" s="5"/>
      <c r="AH659" s="5"/>
      <c r="AI659" s="5"/>
      <c r="AJ659" s="5"/>
      <c r="AK659" s="5"/>
      <c r="AL659" s="5"/>
      <c r="AM659" s="5"/>
      <c r="AN659" s="5"/>
      <c r="AO659" s="5"/>
      <c r="AP659" s="5"/>
      <c r="AQ659" s="5"/>
      <c r="AR659" s="5"/>
      <c r="AS659" s="5"/>
      <c r="AT659" s="5"/>
      <c r="AU659" s="5"/>
    </row>
    <row r="660" ht="15.7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c r="AC660" s="5"/>
      <c r="AD660" s="5"/>
      <c r="AE660" s="5"/>
      <c r="AF660" s="5"/>
      <c r="AG660" s="5"/>
      <c r="AH660" s="5"/>
      <c r="AI660" s="5"/>
      <c r="AJ660" s="5"/>
      <c r="AK660" s="5"/>
      <c r="AL660" s="5"/>
      <c r="AM660" s="5"/>
      <c r="AN660" s="5"/>
      <c r="AO660" s="5"/>
      <c r="AP660" s="5"/>
      <c r="AQ660" s="5"/>
      <c r="AR660" s="5"/>
      <c r="AS660" s="5"/>
      <c r="AT660" s="5"/>
      <c r="AU660" s="5"/>
    </row>
    <row r="661" ht="15.7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c r="AC661" s="5"/>
      <c r="AD661" s="5"/>
      <c r="AE661" s="5"/>
      <c r="AF661" s="5"/>
      <c r="AG661" s="5"/>
      <c r="AH661" s="5"/>
      <c r="AI661" s="5"/>
      <c r="AJ661" s="5"/>
      <c r="AK661" s="5"/>
      <c r="AL661" s="5"/>
      <c r="AM661" s="5"/>
      <c r="AN661" s="5"/>
      <c r="AO661" s="5"/>
      <c r="AP661" s="5"/>
      <c r="AQ661" s="5"/>
      <c r="AR661" s="5"/>
      <c r="AS661" s="5"/>
      <c r="AT661" s="5"/>
      <c r="AU661" s="5"/>
    </row>
    <row r="662" ht="15.7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c r="AC662" s="5"/>
      <c r="AD662" s="5"/>
      <c r="AE662" s="5"/>
      <c r="AF662" s="5"/>
      <c r="AG662" s="5"/>
      <c r="AH662" s="5"/>
      <c r="AI662" s="5"/>
      <c r="AJ662" s="5"/>
      <c r="AK662" s="5"/>
      <c r="AL662" s="5"/>
      <c r="AM662" s="5"/>
      <c r="AN662" s="5"/>
      <c r="AO662" s="5"/>
      <c r="AP662" s="5"/>
      <c r="AQ662" s="5"/>
      <c r="AR662" s="5"/>
      <c r="AS662" s="5"/>
      <c r="AT662" s="5"/>
      <c r="AU662" s="5"/>
    </row>
    <row r="663" ht="15.7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c r="AC663" s="5"/>
      <c r="AD663" s="5"/>
      <c r="AE663" s="5"/>
      <c r="AF663" s="5"/>
      <c r="AG663" s="5"/>
      <c r="AH663" s="5"/>
      <c r="AI663" s="5"/>
      <c r="AJ663" s="5"/>
      <c r="AK663" s="5"/>
      <c r="AL663" s="5"/>
      <c r="AM663" s="5"/>
      <c r="AN663" s="5"/>
      <c r="AO663" s="5"/>
      <c r="AP663" s="5"/>
      <c r="AQ663" s="5"/>
      <c r="AR663" s="5"/>
      <c r="AS663" s="5"/>
      <c r="AT663" s="5"/>
      <c r="AU663" s="5"/>
    </row>
    <row r="664" ht="15.7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c r="AC664" s="5"/>
      <c r="AD664" s="5"/>
      <c r="AE664" s="5"/>
      <c r="AF664" s="5"/>
      <c r="AG664" s="5"/>
      <c r="AH664" s="5"/>
      <c r="AI664" s="5"/>
      <c r="AJ664" s="5"/>
      <c r="AK664" s="5"/>
      <c r="AL664" s="5"/>
      <c r="AM664" s="5"/>
      <c r="AN664" s="5"/>
      <c r="AO664" s="5"/>
      <c r="AP664" s="5"/>
      <c r="AQ664" s="5"/>
      <c r="AR664" s="5"/>
      <c r="AS664" s="5"/>
      <c r="AT664" s="5"/>
      <c r="AU664" s="5"/>
    </row>
    <row r="665" ht="15.7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c r="AC665" s="5"/>
      <c r="AD665" s="5"/>
      <c r="AE665" s="5"/>
      <c r="AF665" s="5"/>
      <c r="AG665" s="5"/>
      <c r="AH665" s="5"/>
      <c r="AI665" s="5"/>
      <c r="AJ665" s="5"/>
      <c r="AK665" s="5"/>
      <c r="AL665" s="5"/>
      <c r="AM665" s="5"/>
      <c r="AN665" s="5"/>
      <c r="AO665" s="5"/>
      <c r="AP665" s="5"/>
      <c r="AQ665" s="5"/>
      <c r="AR665" s="5"/>
      <c r="AS665" s="5"/>
      <c r="AT665" s="5"/>
      <c r="AU665" s="5"/>
    </row>
    <row r="666" ht="15.7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c r="AC666" s="5"/>
      <c r="AD666" s="5"/>
      <c r="AE666" s="5"/>
      <c r="AF666" s="5"/>
      <c r="AG666" s="5"/>
      <c r="AH666" s="5"/>
      <c r="AI666" s="5"/>
      <c r="AJ666" s="5"/>
      <c r="AK666" s="5"/>
      <c r="AL666" s="5"/>
      <c r="AM666" s="5"/>
      <c r="AN666" s="5"/>
      <c r="AO666" s="5"/>
      <c r="AP666" s="5"/>
      <c r="AQ666" s="5"/>
      <c r="AR666" s="5"/>
      <c r="AS666" s="5"/>
      <c r="AT666" s="5"/>
      <c r="AU666" s="5"/>
    </row>
    <row r="667" ht="15.7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c r="AC667" s="5"/>
      <c r="AD667" s="5"/>
      <c r="AE667" s="5"/>
      <c r="AF667" s="5"/>
      <c r="AG667" s="5"/>
      <c r="AH667" s="5"/>
      <c r="AI667" s="5"/>
      <c r="AJ667" s="5"/>
      <c r="AK667" s="5"/>
      <c r="AL667" s="5"/>
      <c r="AM667" s="5"/>
      <c r="AN667" s="5"/>
      <c r="AO667" s="5"/>
      <c r="AP667" s="5"/>
      <c r="AQ667" s="5"/>
      <c r="AR667" s="5"/>
      <c r="AS667" s="5"/>
      <c r="AT667" s="5"/>
      <c r="AU667" s="5"/>
    </row>
    <row r="668" ht="15.7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c r="AC668" s="5"/>
      <c r="AD668" s="5"/>
      <c r="AE668" s="5"/>
      <c r="AF668" s="5"/>
      <c r="AG668" s="5"/>
      <c r="AH668" s="5"/>
      <c r="AI668" s="5"/>
      <c r="AJ668" s="5"/>
      <c r="AK668" s="5"/>
      <c r="AL668" s="5"/>
      <c r="AM668" s="5"/>
      <c r="AN668" s="5"/>
      <c r="AO668" s="5"/>
      <c r="AP668" s="5"/>
      <c r="AQ668" s="5"/>
      <c r="AR668" s="5"/>
      <c r="AS668" s="5"/>
      <c r="AT668" s="5"/>
      <c r="AU668" s="5"/>
    </row>
    <row r="669" ht="15.7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c r="AC669" s="5"/>
      <c r="AD669" s="5"/>
      <c r="AE669" s="5"/>
      <c r="AF669" s="5"/>
      <c r="AG669" s="5"/>
      <c r="AH669" s="5"/>
      <c r="AI669" s="5"/>
      <c r="AJ669" s="5"/>
      <c r="AK669" s="5"/>
      <c r="AL669" s="5"/>
      <c r="AM669" s="5"/>
      <c r="AN669" s="5"/>
      <c r="AO669" s="5"/>
      <c r="AP669" s="5"/>
      <c r="AQ669" s="5"/>
      <c r="AR669" s="5"/>
      <c r="AS669" s="5"/>
      <c r="AT669" s="5"/>
      <c r="AU669" s="5"/>
    </row>
    <row r="670" ht="15.7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c r="AC670" s="5"/>
      <c r="AD670" s="5"/>
      <c r="AE670" s="5"/>
      <c r="AF670" s="5"/>
      <c r="AG670" s="5"/>
      <c r="AH670" s="5"/>
      <c r="AI670" s="5"/>
      <c r="AJ670" s="5"/>
      <c r="AK670" s="5"/>
      <c r="AL670" s="5"/>
      <c r="AM670" s="5"/>
      <c r="AN670" s="5"/>
      <c r="AO670" s="5"/>
      <c r="AP670" s="5"/>
      <c r="AQ670" s="5"/>
      <c r="AR670" s="5"/>
      <c r="AS670" s="5"/>
      <c r="AT670" s="5"/>
      <c r="AU670" s="5"/>
    </row>
    <row r="671" ht="15.7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c r="AC671" s="5"/>
      <c r="AD671" s="5"/>
      <c r="AE671" s="5"/>
      <c r="AF671" s="5"/>
      <c r="AG671" s="5"/>
      <c r="AH671" s="5"/>
      <c r="AI671" s="5"/>
      <c r="AJ671" s="5"/>
      <c r="AK671" s="5"/>
      <c r="AL671" s="5"/>
      <c r="AM671" s="5"/>
      <c r="AN671" s="5"/>
      <c r="AO671" s="5"/>
      <c r="AP671" s="5"/>
      <c r="AQ671" s="5"/>
      <c r="AR671" s="5"/>
      <c r="AS671" s="5"/>
      <c r="AT671" s="5"/>
      <c r="AU671" s="5"/>
    </row>
    <row r="672" ht="15.7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c r="AC672" s="5"/>
      <c r="AD672" s="5"/>
      <c r="AE672" s="5"/>
      <c r="AF672" s="5"/>
      <c r="AG672" s="5"/>
      <c r="AH672" s="5"/>
      <c r="AI672" s="5"/>
      <c r="AJ672" s="5"/>
      <c r="AK672" s="5"/>
      <c r="AL672" s="5"/>
      <c r="AM672" s="5"/>
      <c r="AN672" s="5"/>
      <c r="AO672" s="5"/>
      <c r="AP672" s="5"/>
      <c r="AQ672" s="5"/>
      <c r="AR672" s="5"/>
      <c r="AS672" s="5"/>
      <c r="AT672" s="5"/>
      <c r="AU672" s="5"/>
    </row>
    <row r="673" ht="15.7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c r="AC673" s="5"/>
      <c r="AD673" s="5"/>
      <c r="AE673" s="5"/>
      <c r="AF673" s="5"/>
      <c r="AG673" s="5"/>
      <c r="AH673" s="5"/>
      <c r="AI673" s="5"/>
      <c r="AJ673" s="5"/>
      <c r="AK673" s="5"/>
      <c r="AL673" s="5"/>
      <c r="AM673" s="5"/>
      <c r="AN673" s="5"/>
      <c r="AO673" s="5"/>
      <c r="AP673" s="5"/>
      <c r="AQ673" s="5"/>
      <c r="AR673" s="5"/>
      <c r="AS673" s="5"/>
      <c r="AT673" s="5"/>
      <c r="AU673" s="5"/>
    </row>
    <row r="674" ht="15.7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c r="AC674" s="5"/>
      <c r="AD674" s="5"/>
      <c r="AE674" s="5"/>
      <c r="AF674" s="5"/>
      <c r="AG674" s="5"/>
      <c r="AH674" s="5"/>
      <c r="AI674" s="5"/>
      <c r="AJ674" s="5"/>
      <c r="AK674" s="5"/>
      <c r="AL674" s="5"/>
      <c r="AM674" s="5"/>
      <c r="AN674" s="5"/>
      <c r="AO674" s="5"/>
      <c r="AP674" s="5"/>
      <c r="AQ674" s="5"/>
      <c r="AR674" s="5"/>
      <c r="AS674" s="5"/>
      <c r="AT674" s="5"/>
      <c r="AU674" s="5"/>
    </row>
    <row r="675" ht="15.7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c r="AC675" s="5"/>
      <c r="AD675" s="5"/>
      <c r="AE675" s="5"/>
      <c r="AF675" s="5"/>
      <c r="AG675" s="5"/>
      <c r="AH675" s="5"/>
      <c r="AI675" s="5"/>
      <c r="AJ675" s="5"/>
      <c r="AK675" s="5"/>
      <c r="AL675" s="5"/>
      <c r="AM675" s="5"/>
      <c r="AN675" s="5"/>
      <c r="AO675" s="5"/>
      <c r="AP675" s="5"/>
      <c r="AQ675" s="5"/>
      <c r="AR675" s="5"/>
      <c r="AS675" s="5"/>
      <c r="AT675" s="5"/>
      <c r="AU675" s="5"/>
    </row>
    <row r="676" ht="15.7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c r="AC676" s="5"/>
      <c r="AD676" s="5"/>
      <c r="AE676" s="5"/>
      <c r="AF676" s="5"/>
      <c r="AG676" s="5"/>
      <c r="AH676" s="5"/>
      <c r="AI676" s="5"/>
      <c r="AJ676" s="5"/>
      <c r="AK676" s="5"/>
      <c r="AL676" s="5"/>
      <c r="AM676" s="5"/>
      <c r="AN676" s="5"/>
      <c r="AO676" s="5"/>
      <c r="AP676" s="5"/>
      <c r="AQ676" s="5"/>
      <c r="AR676" s="5"/>
      <c r="AS676" s="5"/>
      <c r="AT676" s="5"/>
      <c r="AU676" s="5"/>
    </row>
    <row r="677" ht="15.7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c r="AC677" s="5"/>
      <c r="AD677" s="5"/>
      <c r="AE677" s="5"/>
      <c r="AF677" s="5"/>
      <c r="AG677" s="5"/>
      <c r="AH677" s="5"/>
      <c r="AI677" s="5"/>
      <c r="AJ677" s="5"/>
      <c r="AK677" s="5"/>
      <c r="AL677" s="5"/>
      <c r="AM677" s="5"/>
      <c r="AN677" s="5"/>
      <c r="AO677" s="5"/>
      <c r="AP677" s="5"/>
      <c r="AQ677" s="5"/>
      <c r="AR677" s="5"/>
      <c r="AS677" s="5"/>
      <c r="AT677" s="5"/>
      <c r="AU677" s="5"/>
    </row>
    <row r="678" ht="15.7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c r="AC678" s="5"/>
      <c r="AD678" s="5"/>
      <c r="AE678" s="5"/>
      <c r="AF678" s="5"/>
      <c r="AG678" s="5"/>
      <c r="AH678" s="5"/>
      <c r="AI678" s="5"/>
      <c r="AJ678" s="5"/>
      <c r="AK678" s="5"/>
      <c r="AL678" s="5"/>
      <c r="AM678" s="5"/>
      <c r="AN678" s="5"/>
      <c r="AO678" s="5"/>
      <c r="AP678" s="5"/>
      <c r="AQ678" s="5"/>
      <c r="AR678" s="5"/>
      <c r="AS678" s="5"/>
      <c r="AT678" s="5"/>
      <c r="AU678" s="5"/>
    </row>
    <row r="679" ht="15.7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c r="AC679" s="5"/>
      <c r="AD679" s="5"/>
      <c r="AE679" s="5"/>
      <c r="AF679" s="5"/>
      <c r="AG679" s="5"/>
      <c r="AH679" s="5"/>
      <c r="AI679" s="5"/>
      <c r="AJ679" s="5"/>
      <c r="AK679" s="5"/>
      <c r="AL679" s="5"/>
      <c r="AM679" s="5"/>
      <c r="AN679" s="5"/>
      <c r="AO679" s="5"/>
      <c r="AP679" s="5"/>
      <c r="AQ679" s="5"/>
      <c r="AR679" s="5"/>
      <c r="AS679" s="5"/>
      <c r="AT679" s="5"/>
      <c r="AU679" s="5"/>
    </row>
    <row r="680" ht="15.7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c r="AC680" s="5"/>
      <c r="AD680" s="5"/>
      <c r="AE680" s="5"/>
      <c r="AF680" s="5"/>
      <c r="AG680" s="5"/>
      <c r="AH680" s="5"/>
      <c r="AI680" s="5"/>
      <c r="AJ680" s="5"/>
      <c r="AK680" s="5"/>
      <c r="AL680" s="5"/>
      <c r="AM680" s="5"/>
      <c r="AN680" s="5"/>
      <c r="AO680" s="5"/>
      <c r="AP680" s="5"/>
      <c r="AQ680" s="5"/>
      <c r="AR680" s="5"/>
      <c r="AS680" s="5"/>
      <c r="AT680" s="5"/>
      <c r="AU680" s="5"/>
    </row>
    <row r="681" ht="15.7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c r="AC681" s="5"/>
      <c r="AD681" s="5"/>
      <c r="AE681" s="5"/>
      <c r="AF681" s="5"/>
      <c r="AG681" s="5"/>
      <c r="AH681" s="5"/>
      <c r="AI681" s="5"/>
      <c r="AJ681" s="5"/>
      <c r="AK681" s="5"/>
      <c r="AL681" s="5"/>
      <c r="AM681" s="5"/>
      <c r="AN681" s="5"/>
      <c r="AO681" s="5"/>
      <c r="AP681" s="5"/>
      <c r="AQ681" s="5"/>
      <c r="AR681" s="5"/>
      <c r="AS681" s="5"/>
      <c r="AT681" s="5"/>
      <c r="AU681" s="5"/>
    </row>
    <row r="682" ht="15.7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c r="AC682" s="5"/>
      <c r="AD682" s="5"/>
      <c r="AE682" s="5"/>
      <c r="AF682" s="5"/>
      <c r="AG682" s="5"/>
      <c r="AH682" s="5"/>
      <c r="AI682" s="5"/>
      <c r="AJ682" s="5"/>
      <c r="AK682" s="5"/>
      <c r="AL682" s="5"/>
      <c r="AM682" s="5"/>
      <c r="AN682" s="5"/>
      <c r="AO682" s="5"/>
      <c r="AP682" s="5"/>
      <c r="AQ682" s="5"/>
      <c r="AR682" s="5"/>
      <c r="AS682" s="5"/>
      <c r="AT682" s="5"/>
      <c r="AU682" s="5"/>
    </row>
    <row r="683" ht="15.7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c r="AC683" s="5"/>
      <c r="AD683" s="5"/>
      <c r="AE683" s="5"/>
      <c r="AF683" s="5"/>
      <c r="AG683" s="5"/>
      <c r="AH683" s="5"/>
      <c r="AI683" s="5"/>
      <c r="AJ683" s="5"/>
      <c r="AK683" s="5"/>
      <c r="AL683" s="5"/>
      <c r="AM683" s="5"/>
      <c r="AN683" s="5"/>
      <c r="AO683" s="5"/>
      <c r="AP683" s="5"/>
      <c r="AQ683" s="5"/>
      <c r="AR683" s="5"/>
      <c r="AS683" s="5"/>
      <c r="AT683" s="5"/>
      <c r="AU683" s="5"/>
    </row>
    <row r="684" ht="15.7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c r="AC684" s="5"/>
      <c r="AD684" s="5"/>
      <c r="AE684" s="5"/>
      <c r="AF684" s="5"/>
      <c r="AG684" s="5"/>
      <c r="AH684" s="5"/>
      <c r="AI684" s="5"/>
      <c r="AJ684" s="5"/>
      <c r="AK684" s="5"/>
      <c r="AL684" s="5"/>
      <c r="AM684" s="5"/>
      <c r="AN684" s="5"/>
      <c r="AO684" s="5"/>
      <c r="AP684" s="5"/>
      <c r="AQ684" s="5"/>
      <c r="AR684" s="5"/>
      <c r="AS684" s="5"/>
      <c r="AT684" s="5"/>
      <c r="AU684" s="5"/>
    </row>
    <row r="685" ht="15.7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c r="AC685" s="5"/>
      <c r="AD685" s="5"/>
      <c r="AE685" s="5"/>
      <c r="AF685" s="5"/>
      <c r="AG685" s="5"/>
      <c r="AH685" s="5"/>
      <c r="AI685" s="5"/>
      <c r="AJ685" s="5"/>
      <c r="AK685" s="5"/>
      <c r="AL685" s="5"/>
      <c r="AM685" s="5"/>
      <c r="AN685" s="5"/>
      <c r="AO685" s="5"/>
      <c r="AP685" s="5"/>
      <c r="AQ685" s="5"/>
      <c r="AR685" s="5"/>
      <c r="AS685" s="5"/>
      <c r="AT685" s="5"/>
      <c r="AU685" s="5"/>
    </row>
    <row r="686" ht="15.7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c r="AC686" s="5"/>
      <c r="AD686" s="5"/>
      <c r="AE686" s="5"/>
      <c r="AF686" s="5"/>
      <c r="AG686" s="5"/>
      <c r="AH686" s="5"/>
      <c r="AI686" s="5"/>
      <c r="AJ686" s="5"/>
      <c r="AK686" s="5"/>
      <c r="AL686" s="5"/>
      <c r="AM686" s="5"/>
      <c r="AN686" s="5"/>
      <c r="AO686" s="5"/>
      <c r="AP686" s="5"/>
      <c r="AQ686" s="5"/>
      <c r="AR686" s="5"/>
      <c r="AS686" s="5"/>
      <c r="AT686" s="5"/>
      <c r="AU686" s="5"/>
    </row>
    <row r="687" ht="15.7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c r="AC687" s="5"/>
      <c r="AD687" s="5"/>
      <c r="AE687" s="5"/>
      <c r="AF687" s="5"/>
      <c r="AG687" s="5"/>
      <c r="AH687" s="5"/>
      <c r="AI687" s="5"/>
      <c r="AJ687" s="5"/>
      <c r="AK687" s="5"/>
      <c r="AL687" s="5"/>
      <c r="AM687" s="5"/>
      <c r="AN687" s="5"/>
      <c r="AO687" s="5"/>
      <c r="AP687" s="5"/>
      <c r="AQ687" s="5"/>
      <c r="AR687" s="5"/>
      <c r="AS687" s="5"/>
      <c r="AT687" s="5"/>
      <c r="AU687" s="5"/>
    </row>
    <row r="688" ht="15.7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c r="AC688" s="5"/>
      <c r="AD688" s="5"/>
      <c r="AE688" s="5"/>
      <c r="AF688" s="5"/>
      <c r="AG688" s="5"/>
      <c r="AH688" s="5"/>
      <c r="AI688" s="5"/>
      <c r="AJ688" s="5"/>
      <c r="AK688" s="5"/>
      <c r="AL688" s="5"/>
      <c r="AM688" s="5"/>
      <c r="AN688" s="5"/>
      <c r="AO688" s="5"/>
      <c r="AP688" s="5"/>
      <c r="AQ688" s="5"/>
      <c r="AR688" s="5"/>
      <c r="AS688" s="5"/>
      <c r="AT688" s="5"/>
      <c r="AU688" s="5"/>
    </row>
    <row r="689" ht="15.7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c r="AC689" s="5"/>
      <c r="AD689" s="5"/>
      <c r="AE689" s="5"/>
      <c r="AF689" s="5"/>
      <c r="AG689" s="5"/>
      <c r="AH689" s="5"/>
      <c r="AI689" s="5"/>
      <c r="AJ689" s="5"/>
      <c r="AK689" s="5"/>
      <c r="AL689" s="5"/>
      <c r="AM689" s="5"/>
      <c r="AN689" s="5"/>
      <c r="AO689" s="5"/>
      <c r="AP689" s="5"/>
      <c r="AQ689" s="5"/>
      <c r="AR689" s="5"/>
      <c r="AS689" s="5"/>
      <c r="AT689" s="5"/>
      <c r="AU689" s="5"/>
    </row>
    <row r="690" ht="15.7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c r="AC690" s="5"/>
      <c r="AD690" s="5"/>
      <c r="AE690" s="5"/>
      <c r="AF690" s="5"/>
      <c r="AG690" s="5"/>
      <c r="AH690" s="5"/>
      <c r="AI690" s="5"/>
      <c r="AJ690" s="5"/>
      <c r="AK690" s="5"/>
      <c r="AL690" s="5"/>
      <c r="AM690" s="5"/>
      <c r="AN690" s="5"/>
      <c r="AO690" s="5"/>
      <c r="AP690" s="5"/>
      <c r="AQ690" s="5"/>
      <c r="AR690" s="5"/>
      <c r="AS690" s="5"/>
      <c r="AT690" s="5"/>
      <c r="AU690" s="5"/>
    </row>
    <row r="691" ht="15.7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c r="AC691" s="5"/>
      <c r="AD691" s="5"/>
      <c r="AE691" s="5"/>
      <c r="AF691" s="5"/>
      <c r="AG691" s="5"/>
      <c r="AH691" s="5"/>
      <c r="AI691" s="5"/>
      <c r="AJ691" s="5"/>
      <c r="AK691" s="5"/>
      <c r="AL691" s="5"/>
      <c r="AM691" s="5"/>
      <c r="AN691" s="5"/>
      <c r="AO691" s="5"/>
      <c r="AP691" s="5"/>
      <c r="AQ691" s="5"/>
      <c r="AR691" s="5"/>
      <c r="AS691" s="5"/>
      <c r="AT691" s="5"/>
      <c r="AU691" s="5"/>
    </row>
    <row r="692" ht="15.7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c r="AC692" s="5"/>
      <c r="AD692" s="5"/>
      <c r="AE692" s="5"/>
      <c r="AF692" s="5"/>
      <c r="AG692" s="5"/>
      <c r="AH692" s="5"/>
      <c r="AI692" s="5"/>
      <c r="AJ692" s="5"/>
      <c r="AK692" s="5"/>
      <c r="AL692" s="5"/>
      <c r="AM692" s="5"/>
      <c r="AN692" s="5"/>
      <c r="AO692" s="5"/>
      <c r="AP692" s="5"/>
      <c r="AQ692" s="5"/>
      <c r="AR692" s="5"/>
      <c r="AS692" s="5"/>
      <c r="AT692" s="5"/>
      <c r="AU692" s="5"/>
    </row>
    <row r="693" ht="15.7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c r="AC693" s="5"/>
      <c r="AD693" s="5"/>
      <c r="AE693" s="5"/>
      <c r="AF693" s="5"/>
      <c r="AG693" s="5"/>
      <c r="AH693" s="5"/>
      <c r="AI693" s="5"/>
      <c r="AJ693" s="5"/>
      <c r="AK693" s="5"/>
      <c r="AL693" s="5"/>
      <c r="AM693" s="5"/>
      <c r="AN693" s="5"/>
      <c r="AO693" s="5"/>
      <c r="AP693" s="5"/>
      <c r="AQ693" s="5"/>
      <c r="AR693" s="5"/>
      <c r="AS693" s="5"/>
      <c r="AT693" s="5"/>
      <c r="AU693" s="5"/>
    </row>
    <row r="694" ht="15.7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c r="AC694" s="5"/>
      <c r="AD694" s="5"/>
      <c r="AE694" s="5"/>
      <c r="AF694" s="5"/>
      <c r="AG694" s="5"/>
      <c r="AH694" s="5"/>
      <c r="AI694" s="5"/>
      <c r="AJ694" s="5"/>
      <c r="AK694" s="5"/>
      <c r="AL694" s="5"/>
      <c r="AM694" s="5"/>
      <c r="AN694" s="5"/>
      <c r="AO694" s="5"/>
      <c r="AP694" s="5"/>
      <c r="AQ694" s="5"/>
      <c r="AR694" s="5"/>
      <c r="AS694" s="5"/>
      <c r="AT694" s="5"/>
      <c r="AU694" s="5"/>
    </row>
    <row r="695" ht="15.7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c r="AC695" s="5"/>
      <c r="AD695" s="5"/>
      <c r="AE695" s="5"/>
      <c r="AF695" s="5"/>
      <c r="AG695" s="5"/>
      <c r="AH695" s="5"/>
      <c r="AI695" s="5"/>
      <c r="AJ695" s="5"/>
      <c r="AK695" s="5"/>
      <c r="AL695" s="5"/>
      <c r="AM695" s="5"/>
      <c r="AN695" s="5"/>
      <c r="AO695" s="5"/>
      <c r="AP695" s="5"/>
      <c r="AQ695" s="5"/>
      <c r="AR695" s="5"/>
      <c r="AS695" s="5"/>
      <c r="AT695" s="5"/>
      <c r="AU695" s="5"/>
    </row>
    <row r="696" ht="15.7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c r="AC696" s="5"/>
      <c r="AD696" s="5"/>
      <c r="AE696" s="5"/>
      <c r="AF696" s="5"/>
      <c r="AG696" s="5"/>
      <c r="AH696" s="5"/>
      <c r="AI696" s="5"/>
      <c r="AJ696" s="5"/>
      <c r="AK696" s="5"/>
      <c r="AL696" s="5"/>
      <c r="AM696" s="5"/>
      <c r="AN696" s="5"/>
      <c r="AO696" s="5"/>
      <c r="AP696" s="5"/>
      <c r="AQ696" s="5"/>
      <c r="AR696" s="5"/>
      <c r="AS696" s="5"/>
      <c r="AT696" s="5"/>
      <c r="AU696" s="5"/>
    </row>
    <row r="697" ht="15.7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c r="AC697" s="5"/>
      <c r="AD697" s="5"/>
      <c r="AE697" s="5"/>
      <c r="AF697" s="5"/>
      <c r="AG697" s="5"/>
      <c r="AH697" s="5"/>
      <c r="AI697" s="5"/>
      <c r="AJ697" s="5"/>
      <c r="AK697" s="5"/>
      <c r="AL697" s="5"/>
      <c r="AM697" s="5"/>
      <c r="AN697" s="5"/>
      <c r="AO697" s="5"/>
      <c r="AP697" s="5"/>
      <c r="AQ697" s="5"/>
      <c r="AR697" s="5"/>
      <c r="AS697" s="5"/>
      <c r="AT697" s="5"/>
      <c r="AU697" s="5"/>
    </row>
    <row r="698" ht="15.7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c r="AC698" s="5"/>
      <c r="AD698" s="5"/>
      <c r="AE698" s="5"/>
      <c r="AF698" s="5"/>
      <c r="AG698" s="5"/>
      <c r="AH698" s="5"/>
      <c r="AI698" s="5"/>
      <c r="AJ698" s="5"/>
      <c r="AK698" s="5"/>
      <c r="AL698" s="5"/>
      <c r="AM698" s="5"/>
      <c r="AN698" s="5"/>
      <c r="AO698" s="5"/>
      <c r="AP698" s="5"/>
      <c r="AQ698" s="5"/>
      <c r="AR698" s="5"/>
      <c r="AS698" s="5"/>
      <c r="AT698" s="5"/>
      <c r="AU698" s="5"/>
    </row>
    <row r="699" ht="15.7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c r="AC699" s="5"/>
      <c r="AD699" s="5"/>
      <c r="AE699" s="5"/>
      <c r="AF699" s="5"/>
      <c r="AG699" s="5"/>
      <c r="AH699" s="5"/>
      <c r="AI699" s="5"/>
      <c r="AJ699" s="5"/>
      <c r="AK699" s="5"/>
      <c r="AL699" s="5"/>
      <c r="AM699" s="5"/>
      <c r="AN699" s="5"/>
      <c r="AO699" s="5"/>
      <c r="AP699" s="5"/>
      <c r="AQ699" s="5"/>
      <c r="AR699" s="5"/>
      <c r="AS699" s="5"/>
      <c r="AT699" s="5"/>
      <c r="AU699" s="5"/>
    </row>
    <row r="700" ht="15.7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c r="AC700" s="5"/>
      <c r="AD700" s="5"/>
      <c r="AE700" s="5"/>
      <c r="AF700" s="5"/>
      <c r="AG700" s="5"/>
      <c r="AH700" s="5"/>
      <c r="AI700" s="5"/>
      <c r="AJ700" s="5"/>
      <c r="AK700" s="5"/>
      <c r="AL700" s="5"/>
      <c r="AM700" s="5"/>
      <c r="AN700" s="5"/>
      <c r="AO700" s="5"/>
      <c r="AP700" s="5"/>
      <c r="AQ700" s="5"/>
      <c r="AR700" s="5"/>
      <c r="AS700" s="5"/>
      <c r="AT700" s="5"/>
      <c r="AU700" s="5"/>
    </row>
    <row r="701" ht="15.7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5"/>
      <c r="AC701" s="5"/>
      <c r="AD701" s="5"/>
      <c r="AE701" s="5"/>
      <c r="AF701" s="5"/>
      <c r="AG701" s="5"/>
      <c r="AH701" s="5"/>
      <c r="AI701" s="5"/>
      <c r="AJ701" s="5"/>
      <c r="AK701" s="5"/>
      <c r="AL701" s="5"/>
      <c r="AM701" s="5"/>
      <c r="AN701" s="5"/>
      <c r="AO701" s="5"/>
      <c r="AP701" s="5"/>
      <c r="AQ701" s="5"/>
      <c r="AR701" s="5"/>
      <c r="AS701" s="5"/>
      <c r="AT701" s="5"/>
      <c r="AU701" s="5"/>
    </row>
    <row r="702" ht="15.7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c r="AC702" s="5"/>
      <c r="AD702" s="5"/>
      <c r="AE702" s="5"/>
      <c r="AF702" s="5"/>
      <c r="AG702" s="5"/>
      <c r="AH702" s="5"/>
      <c r="AI702" s="5"/>
      <c r="AJ702" s="5"/>
      <c r="AK702" s="5"/>
      <c r="AL702" s="5"/>
      <c r="AM702" s="5"/>
      <c r="AN702" s="5"/>
      <c r="AO702" s="5"/>
      <c r="AP702" s="5"/>
      <c r="AQ702" s="5"/>
      <c r="AR702" s="5"/>
      <c r="AS702" s="5"/>
      <c r="AT702" s="5"/>
      <c r="AU702" s="5"/>
    </row>
    <row r="703" ht="15.7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c r="AB703" s="5"/>
      <c r="AC703" s="5"/>
      <c r="AD703" s="5"/>
      <c r="AE703" s="5"/>
      <c r="AF703" s="5"/>
      <c r="AG703" s="5"/>
      <c r="AH703" s="5"/>
      <c r="AI703" s="5"/>
      <c r="AJ703" s="5"/>
      <c r="AK703" s="5"/>
      <c r="AL703" s="5"/>
      <c r="AM703" s="5"/>
      <c r="AN703" s="5"/>
      <c r="AO703" s="5"/>
      <c r="AP703" s="5"/>
      <c r="AQ703" s="5"/>
      <c r="AR703" s="5"/>
      <c r="AS703" s="5"/>
      <c r="AT703" s="5"/>
      <c r="AU703" s="5"/>
    </row>
    <row r="704" ht="15.7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c r="AB704" s="5"/>
      <c r="AC704" s="5"/>
      <c r="AD704" s="5"/>
      <c r="AE704" s="5"/>
      <c r="AF704" s="5"/>
      <c r="AG704" s="5"/>
      <c r="AH704" s="5"/>
      <c r="AI704" s="5"/>
      <c r="AJ704" s="5"/>
      <c r="AK704" s="5"/>
      <c r="AL704" s="5"/>
      <c r="AM704" s="5"/>
      <c r="AN704" s="5"/>
      <c r="AO704" s="5"/>
      <c r="AP704" s="5"/>
      <c r="AQ704" s="5"/>
      <c r="AR704" s="5"/>
      <c r="AS704" s="5"/>
      <c r="AT704" s="5"/>
      <c r="AU704" s="5"/>
    </row>
    <row r="705" ht="15.7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c r="AC705" s="5"/>
      <c r="AD705" s="5"/>
      <c r="AE705" s="5"/>
      <c r="AF705" s="5"/>
      <c r="AG705" s="5"/>
      <c r="AH705" s="5"/>
      <c r="AI705" s="5"/>
      <c r="AJ705" s="5"/>
      <c r="AK705" s="5"/>
      <c r="AL705" s="5"/>
      <c r="AM705" s="5"/>
      <c r="AN705" s="5"/>
      <c r="AO705" s="5"/>
      <c r="AP705" s="5"/>
      <c r="AQ705" s="5"/>
      <c r="AR705" s="5"/>
      <c r="AS705" s="5"/>
      <c r="AT705" s="5"/>
      <c r="AU705" s="5"/>
    </row>
    <row r="706" ht="15.7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c r="AB706" s="5"/>
      <c r="AC706" s="5"/>
      <c r="AD706" s="5"/>
      <c r="AE706" s="5"/>
      <c r="AF706" s="5"/>
      <c r="AG706" s="5"/>
      <c r="AH706" s="5"/>
      <c r="AI706" s="5"/>
      <c r="AJ706" s="5"/>
      <c r="AK706" s="5"/>
      <c r="AL706" s="5"/>
      <c r="AM706" s="5"/>
      <c r="AN706" s="5"/>
      <c r="AO706" s="5"/>
      <c r="AP706" s="5"/>
      <c r="AQ706" s="5"/>
      <c r="AR706" s="5"/>
      <c r="AS706" s="5"/>
      <c r="AT706" s="5"/>
      <c r="AU706" s="5"/>
    </row>
    <row r="707" ht="15.7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c r="AB707" s="5"/>
      <c r="AC707" s="5"/>
      <c r="AD707" s="5"/>
      <c r="AE707" s="5"/>
      <c r="AF707" s="5"/>
      <c r="AG707" s="5"/>
      <c r="AH707" s="5"/>
      <c r="AI707" s="5"/>
      <c r="AJ707" s="5"/>
      <c r="AK707" s="5"/>
      <c r="AL707" s="5"/>
      <c r="AM707" s="5"/>
      <c r="AN707" s="5"/>
      <c r="AO707" s="5"/>
      <c r="AP707" s="5"/>
      <c r="AQ707" s="5"/>
      <c r="AR707" s="5"/>
      <c r="AS707" s="5"/>
      <c r="AT707" s="5"/>
      <c r="AU707" s="5"/>
    </row>
    <row r="708" ht="15.7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c r="AC708" s="5"/>
      <c r="AD708" s="5"/>
      <c r="AE708" s="5"/>
      <c r="AF708" s="5"/>
      <c r="AG708" s="5"/>
      <c r="AH708" s="5"/>
      <c r="AI708" s="5"/>
      <c r="AJ708" s="5"/>
      <c r="AK708" s="5"/>
      <c r="AL708" s="5"/>
      <c r="AM708" s="5"/>
      <c r="AN708" s="5"/>
      <c r="AO708" s="5"/>
      <c r="AP708" s="5"/>
      <c r="AQ708" s="5"/>
      <c r="AR708" s="5"/>
      <c r="AS708" s="5"/>
      <c r="AT708" s="5"/>
      <c r="AU708" s="5"/>
    </row>
    <row r="709" ht="15.7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c r="AB709" s="5"/>
      <c r="AC709" s="5"/>
      <c r="AD709" s="5"/>
      <c r="AE709" s="5"/>
      <c r="AF709" s="5"/>
      <c r="AG709" s="5"/>
      <c r="AH709" s="5"/>
      <c r="AI709" s="5"/>
      <c r="AJ709" s="5"/>
      <c r="AK709" s="5"/>
      <c r="AL709" s="5"/>
      <c r="AM709" s="5"/>
      <c r="AN709" s="5"/>
      <c r="AO709" s="5"/>
      <c r="AP709" s="5"/>
      <c r="AQ709" s="5"/>
      <c r="AR709" s="5"/>
      <c r="AS709" s="5"/>
      <c r="AT709" s="5"/>
      <c r="AU709" s="5"/>
    </row>
    <row r="710" ht="15.7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c r="AC710" s="5"/>
      <c r="AD710" s="5"/>
      <c r="AE710" s="5"/>
      <c r="AF710" s="5"/>
      <c r="AG710" s="5"/>
      <c r="AH710" s="5"/>
      <c r="AI710" s="5"/>
      <c r="AJ710" s="5"/>
      <c r="AK710" s="5"/>
      <c r="AL710" s="5"/>
      <c r="AM710" s="5"/>
      <c r="AN710" s="5"/>
      <c r="AO710" s="5"/>
      <c r="AP710" s="5"/>
      <c r="AQ710" s="5"/>
      <c r="AR710" s="5"/>
      <c r="AS710" s="5"/>
      <c r="AT710" s="5"/>
      <c r="AU710" s="5"/>
    </row>
    <row r="711" ht="15.7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c r="AC711" s="5"/>
      <c r="AD711" s="5"/>
      <c r="AE711" s="5"/>
      <c r="AF711" s="5"/>
      <c r="AG711" s="5"/>
      <c r="AH711" s="5"/>
      <c r="AI711" s="5"/>
      <c r="AJ711" s="5"/>
      <c r="AK711" s="5"/>
      <c r="AL711" s="5"/>
      <c r="AM711" s="5"/>
      <c r="AN711" s="5"/>
      <c r="AO711" s="5"/>
      <c r="AP711" s="5"/>
      <c r="AQ711" s="5"/>
      <c r="AR711" s="5"/>
      <c r="AS711" s="5"/>
      <c r="AT711" s="5"/>
      <c r="AU711" s="5"/>
    </row>
    <row r="712" ht="15.7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c r="AB712" s="5"/>
      <c r="AC712" s="5"/>
      <c r="AD712" s="5"/>
      <c r="AE712" s="5"/>
      <c r="AF712" s="5"/>
      <c r="AG712" s="5"/>
      <c r="AH712" s="5"/>
      <c r="AI712" s="5"/>
      <c r="AJ712" s="5"/>
      <c r="AK712" s="5"/>
      <c r="AL712" s="5"/>
      <c r="AM712" s="5"/>
      <c r="AN712" s="5"/>
      <c r="AO712" s="5"/>
      <c r="AP712" s="5"/>
      <c r="AQ712" s="5"/>
      <c r="AR712" s="5"/>
      <c r="AS712" s="5"/>
      <c r="AT712" s="5"/>
      <c r="AU712" s="5"/>
    </row>
    <row r="713" ht="15.7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c r="AB713" s="5"/>
      <c r="AC713" s="5"/>
      <c r="AD713" s="5"/>
      <c r="AE713" s="5"/>
      <c r="AF713" s="5"/>
      <c r="AG713" s="5"/>
      <c r="AH713" s="5"/>
      <c r="AI713" s="5"/>
      <c r="AJ713" s="5"/>
      <c r="AK713" s="5"/>
      <c r="AL713" s="5"/>
      <c r="AM713" s="5"/>
      <c r="AN713" s="5"/>
      <c r="AO713" s="5"/>
      <c r="AP713" s="5"/>
      <c r="AQ713" s="5"/>
      <c r="AR713" s="5"/>
      <c r="AS713" s="5"/>
      <c r="AT713" s="5"/>
      <c r="AU713" s="5"/>
    </row>
    <row r="714" ht="15.7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c r="AC714" s="5"/>
      <c r="AD714" s="5"/>
      <c r="AE714" s="5"/>
      <c r="AF714" s="5"/>
      <c r="AG714" s="5"/>
      <c r="AH714" s="5"/>
      <c r="AI714" s="5"/>
      <c r="AJ714" s="5"/>
      <c r="AK714" s="5"/>
      <c r="AL714" s="5"/>
      <c r="AM714" s="5"/>
      <c r="AN714" s="5"/>
      <c r="AO714" s="5"/>
      <c r="AP714" s="5"/>
      <c r="AQ714" s="5"/>
      <c r="AR714" s="5"/>
      <c r="AS714" s="5"/>
      <c r="AT714" s="5"/>
      <c r="AU714" s="5"/>
    </row>
    <row r="715" ht="15.7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c r="AB715" s="5"/>
      <c r="AC715" s="5"/>
      <c r="AD715" s="5"/>
      <c r="AE715" s="5"/>
      <c r="AF715" s="5"/>
      <c r="AG715" s="5"/>
      <c r="AH715" s="5"/>
      <c r="AI715" s="5"/>
      <c r="AJ715" s="5"/>
      <c r="AK715" s="5"/>
      <c r="AL715" s="5"/>
      <c r="AM715" s="5"/>
      <c r="AN715" s="5"/>
      <c r="AO715" s="5"/>
      <c r="AP715" s="5"/>
      <c r="AQ715" s="5"/>
      <c r="AR715" s="5"/>
      <c r="AS715" s="5"/>
      <c r="AT715" s="5"/>
      <c r="AU715" s="5"/>
    </row>
    <row r="716" ht="15.7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c r="AC716" s="5"/>
      <c r="AD716" s="5"/>
      <c r="AE716" s="5"/>
      <c r="AF716" s="5"/>
      <c r="AG716" s="5"/>
      <c r="AH716" s="5"/>
      <c r="AI716" s="5"/>
      <c r="AJ716" s="5"/>
      <c r="AK716" s="5"/>
      <c r="AL716" s="5"/>
      <c r="AM716" s="5"/>
      <c r="AN716" s="5"/>
      <c r="AO716" s="5"/>
      <c r="AP716" s="5"/>
      <c r="AQ716" s="5"/>
      <c r="AR716" s="5"/>
      <c r="AS716" s="5"/>
      <c r="AT716" s="5"/>
      <c r="AU716" s="5"/>
    </row>
    <row r="717" ht="15.7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5"/>
      <c r="AC717" s="5"/>
      <c r="AD717" s="5"/>
      <c r="AE717" s="5"/>
      <c r="AF717" s="5"/>
      <c r="AG717" s="5"/>
      <c r="AH717" s="5"/>
      <c r="AI717" s="5"/>
      <c r="AJ717" s="5"/>
      <c r="AK717" s="5"/>
      <c r="AL717" s="5"/>
      <c r="AM717" s="5"/>
      <c r="AN717" s="5"/>
      <c r="AO717" s="5"/>
      <c r="AP717" s="5"/>
      <c r="AQ717" s="5"/>
      <c r="AR717" s="5"/>
      <c r="AS717" s="5"/>
      <c r="AT717" s="5"/>
      <c r="AU717" s="5"/>
    </row>
    <row r="718" ht="15.7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c r="AB718" s="5"/>
      <c r="AC718" s="5"/>
      <c r="AD718" s="5"/>
      <c r="AE718" s="5"/>
      <c r="AF718" s="5"/>
      <c r="AG718" s="5"/>
      <c r="AH718" s="5"/>
      <c r="AI718" s="5"/>
      <c r="AJ718" s="5"/>
      <c r="AK718" s="5"/>
      <c r="AL718" s="5"/>
      <c r="AM718" s="5"/>
      <c r="AN718" s="5"/>
      <c r="AO718" s="5"/>
      <c r="AP718" s="5"/>
      <c r="AQ718" s="5"/>
      <c r="AR718" s="5"/>
      <c r="AS718" s="5"/>
      <c r="AT718" s="5"/>
      <c r="AU718" s="5"/>
    </row>
    <row r="719" ht="15.7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c r="AB719" s="5"/>
      <c r="AC719" s="5"/>
      <c r="AD719" s="5"/>
      <c r="AE719" s="5"/>
      <c r="AF719" s="5"/>
      <c r="AG719" s="5"/>
      <c r="AH719" s="5"/>
      <c r="AI719" s="5"/>
      <c r="AJ719" s="5"/>
      <c r="AK719" s="5"/>
      <c r="AL719" s="5"/>
      <c r="AM719" s="5"/>
      <c r="AN719" s="5"/>
      <c r="AO719" s="5"/>
      <c r="AP719" s="5"/>
      <c r="AQ719" s="5"/>
      <c r="AR719" s="5"/>
      <c r="AS719" s="5"/>
      <c r="AT719" s="5"/>
      <c r="AU719" s="5"/>
    </row>
    <row r="720" ht="15.7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c r="AC720" s="5"/>
      <c r="AD720" s="5"/>
      <c r="AE720" s="5"/>
      <c r="AF720" s="5"/>
      <c r="AG720" s="5"/>
      <c r="AH720" s="5"/>
      <c r="AI720" s="5"/>
      <c r="AJ720" s="5"/>
      <c r="AK720" s="5"/>
      <c r="AL720" s="5"/>
      <c r="AM720" s="5"/>
      <c r="AN720" s="5"/>
      <c r="AO720" s="5"/>
      <c r="AP720" s="5"/>
      <c r="AQ720" s="5"/>
      <c r="AR720" s="5"/>
      <c r="AS720" s="5"/>
      <c r="AT720" s="5"/>
      <c r="AU720" s="5"/>
    </row>
    <row r="721" ht="15.7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c r="AC721" s="5"/>
      <c r="AD721" s="5"/>
      <c r="AE721" s="5"/>
      <c r="AF721" s="5"/>
      <c r="AG721" s="5"/>
      <c r="AH721" s="5"/>
      <c r="AI721" s="5"/>
      <c r="AJ721" s="5"/>
      <c r="AK721" s="5"/>
      <c r="AL721" s="5"/>
      <c r="AM721" s="5"/>
      <c r="AN721" s="5"/>
      <c r="AO721" s="5"/>
      <c r="AP721" s="5"/>
      <c r="AQ721" s="5"/>
      <c r="AR721" s="5"/>
      <c r="AS721" s="5"/>
      <c r="AT721" s="5"/>
      <c r="AU721" s="5"/>
    </row>
    <row r="722" ht="15.7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c r="AB722" s="5"/>
      <c r="AC722" s="5"/>
      <c r="AD722" s="5"/>
      <c r="AE722" s="5"/>
      <c r="AF722" s="5"/>
      <c r="AG722" s="5"/>
      <c r="AH722" s="5"/>
      <c r="AI722" s="5"/>
      <c r="AJ722" s="5"/>
      <c r="AK722" s="5"/>
      <c r="AL722" s="5"/>
      <c r="AM722" s="5"/>
      <c r="AN722" s="5"/>
      <c r="AO722" s="5"/>
      <c r="AP722" s="5"/>
      <c r="AQ722" s="5"/>
      <c r="AR722" s="5"/>
      <c r="AS722" s="5"/>
      <c r="AT722" s="5"/>
      <c r="AU722" s="5"/>
    </row>
    <row r="723" ht="15.7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c r="AB723" s="5"/>
      <c r="AC723" s="5"/>
      <c r="AD723" s="5"/>
      <c r="AE723" s="5"/>
      <c r="AF723" s="5"/>
      <c r="AG723" s="5"/>
      <c r="AH723" s="5"/>
      <c r="AI723" s="5"/>
      <c r="AJ723" s="5"/>
      <c r="AK723" s="5"/>
      <c r="AL723" s="5"/>
      <c r="AM723" s="5"/>
      <c r="AN723" s="5"/>
      <c r="AO723" s="5"/>
      <c r="AP723" s="5"/>
      <c r="AQ723" s="5"/>
      <c r="AR723" s="5"/>
      <c r="AS723" s="5"/>
      <c r="AT723" s="5"/>
      <c r="AU723" s="5"/>
    </row>
    <row r="724" ht="15.7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c r="AB724" s="5"/>
      <c r="AC724" s="5"/>
      <c r="AD724" s="5"/>
      <c r="AE724" s="5"/>
      <c r="AF724" s="5"/>
      <c r="AG724" s="5"/>
      <c r="AH724" s="5"/>
      <c r="AI724" s="5"/>
      <c r="AJ724" s="5"/>
      <c r="AK724" s="5"/>
      <c r="AL724" s="5"/>
      <c r="AM724" s="5"/>
      <c r="AN724" s="5"/>
      <c r="AO724" s="5"/>
      <c r="AP724" s="5"/>
      <c r="AQ724" s="5"/>
      <c r="AR724" s="5"/>
      <c r="AS724" s="5"/>
      <c r="AT724" s="5"/>
      <c r="AU724" s="5"/>
    </row>
    <row r="725" ht="15.7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c r="AB725" s="5"/>
      <c r="AC725" s="5"/>
      <c r="AD725" s="5"/>
      <c r="AE725" s="5"/>
      <c r="AF725" s="5"/>
      <c r="AG725" s="5"/>
      <c r="AH725" s="5"/>
      <c r="AI725" s="5"/>
      <c r="AJ725" s="5"/>
      <c r="AK725" s="5"/>
      <c r="AL725" s="5"/>
      <c r="AM725" s="5"/>
      <c r="AN725" s="5"/>
      <c r="AO725" s="5"/>
      <c r="AP725" s="5"/>
      <c r="AQ725" s="5"/>
      <c r="AR725" s="5"/>
      <c r="AS725" s="5"/>
      <c r="AT725" s="5"/>
      <c r="AU725" s="5"/>
    </row>
    <row r="726" ht="15.7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c r="AC726" s="5"/>
      <c r="AD726" s="5"/>
      <c r="AE726" s="5"/>
      <c r="AF726" s="5"/>
      <c r="AG726" s="5"/>
      <c r="AH726" s="5"/>
      <c r="AI726" s="5"/>
      <c r="AJ726" s="5"/>
      <c r="AK726" s="5"/>
      <c r="AL726" s="5"/>
      <c r="AM726" s="5"/>
      <c r="AN726" s="5"/>
      <c r="AO726" s="5"/>
      <c r="AP726" s="5"/>
      <c r="AQ726" s="5"/>
      <c r="AR726" s="5"/>
      <c r="AS726" s="5"/>
      <c r="AT726" s="5"/>
      <c r="AU726" s="5"/>
    </row>
    <row r="727" ht="15.7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c r="AB727" s="5"/>
      <c r="AC727" s="5"/>
      <c r="AD727" s="5"/>
      <c r="AE727" s="5"/>
      <c r="AF727" s="5"/>
      <c r="AG727" s="5"/>
      <c r="AH727" s="5"/>
      <c r="AI727" s="5"/>
      <c r="AJ727" s="5"/>
      <c r="AK727" s="5"/>
      <c r="AL727" s="5"/>
      <c r="AM727" s="5"/>
      <c r="AN727" s="5"/>
      <c r="AO727" s="5"/>
      <c r="AP727" s="5"/>
      <c r="AQ727" s="5"/>
      <c r="AR727" s="5"/>
      <c r="AS727" s="5"/>
      <c r="AT727" s="5"/>
      <c r="AU727" s="5"/>
    </row>
    <row r="728" ht="15.7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c r="AB728" s="5"/>
      <c r="AC728" s="5"/>
      <c r="AD728" s="5"/>
      <c r="AE728" s="5"/>
      <c r="AF728" s="5"/>
      <c r="AG728" s="5"/>
      <c r="AH728" s="5"/>
      <c r="AI728" s="5"/>
      <c r="AJ728" s="5"/>
      <c r="AK728" s="5"/>
      <c r="AL728" s="5"/>
      <c r="AM728" s="5"/>
      <c r="AN728" s="5"/>
      <c r="AO728" s="5"/>
      <c r="AP728" s="5"/>
      <c r="AQ728" s="5"/>
      <c r="AR728" s="5"/>
      <c r="AS728" s="5"/>
      <c r="AT728" s="5"/>
      <c r="AU728" s="5"/>
    </row>
    <row r="729" ht="15.7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c r="AB729" s="5"/>
      <c r="AC729" s="5"/>
      <c r="AD729" s="5"/>
      <c r="AE729" s="5"/>
      <c r="AF729" s="5"/>
      <c r="AG729" s="5"/>
      <c r="AH729" s="5"/>
      <c r="AI729" s="5"/>
      <c r="AJ729" s="5"/>
      <c r="AK729" s="5"/>
      <c r="AL729" s="5"/>
      <c r="AM729" s="5"/>
      <c r="AN729" s="5"/>
      <c r="AO729" s="5"/>
      <c r="AP729" s="5"/>
      <c r="AQ729" s="5"/>
      <c r="AR729" s="5"/>
      <c r="AS729" s="5"/>
      <c r="AT729" s="5"/>
      <c r="AU729" s="5"/>
    </row>
    <row r="730" ht="15.7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c r="AB730" s="5"/>
      <c r="AC730" s="5"/>
      <c r="AD730" s="5"/>
      <c r="AE730" s="5"/>
      <c r="AF730" s="5"/>
      <c r="AG730" s="5"/>
      <c r="AH730" s="5"/>
      <c r="AI730" s="5"/>
      <c r="AJ730" s="5"/>
      <c r="AK730" s="5"/>
      <c r="AL730" s="5"/>
      <c r="AM730" s="5"/>
      <c r="AN730" s="5"/>
      <c r="AO730" s="5"/>
      <c r="AP730" s="5"/>
      <c r="AQ730" s="5"/>
      <c r="AR730" s="5"/>
      <c r="AS730" s="5"/>
      <c r="AT730" s="5"/>
      <c r="AU730" s="5"/>
    </row>
    <row r="731" ht="15.7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c r="AB731" s="5"/>
      <c r="AC731" s="5"/>
      <c r="AD731" s="5"/>
      <c r="AE731" s="5"/>
      <c r="AF731" s="5"/>
      <c r="AG731" s="5"/>
      <c r="AH731" s="5"/>
      <c r="AI731" s="5"/>
      <c r="AJ731" s="5"/>
      <c r="AK731" s="5"/>
      <c r="AL731" s="5"/>
      <c r="AM731" s="5"/>
      <c r="AN731" s="5"/>
      <c r="AO731" s="5"/>
      <c r="AP731" s="5"/>
      <c r="AQ731" s="5"/>
      <c r="AR731" s="5"/>
      <c r="AS731" s="5"/>
      <c r="AT731" s="5"/>
      <c r="AU731" s="5"/>
    </row>
    <row r="732" ht="15.7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c r="AC732" s="5"/>
      <c r="AD732" s="5"/>
      <c r="AE732" s="5"/>
      <c r="AF732" s="5"/>
      <c r="AG732" s="5"/>
      <c r="AH732" s="5"/>
      <c r="AI732" s="5"/>
      <c r="AJ732" s="5"/>
      <c r="AK732" s="5"/>
      <c r="AL732" s="5"/>
      <c r="AM732" s="5"/>
      <c r="AN732" s="5"/>
      <c r="AO732" s="5"/>
      <c r="AP732" s="5"/>
      <c r="AQ732" s="5"/>
      <c r="AR732" s="5"/>
      <c r="AS732" s="5"/>
      <c r="AT732" s="5"/>
      <c r="AU732" s="5"/>
    </row>
    <row r="733" ht="15.7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c r="AB733" s="5"/>
      <c r="AC733" s="5"/>
      <c r="AD733" s="5"/>
      <c r="AE733" s="5"/>
      <c r="AF733" s="5"/>
      <c r="AG733" s="5"/>
      <c r="AH733" s="5"/>
      <c r="AI733" s="5"/>
      <c r="AJ733" s="5"/>
      <c r="AK733" s="5"/>
      <c r="AL733" s="5"/>
      <c r="AM733" s="5"/>
      <c r="AN733" s="5"/>
      <c r="AO733" s="5"/>
      <c r="AP733" s="5"/>
      <c r="AQ733" s="5"/>
      <c r="AR733" s="5"/>
      <c r="AS733" s="5"/>
      <c r="AT733" s="5"/>
      <c r="AU733" s="5"/>
    </row>
    <row r="734" ht="15.7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c r="AB734" s="5"/>
      <c r="AC734" s="5"/>
      <c r="AD734" s="5"/>
      <c r="AE734" s="5"/>
      <c r="AF734" s="5"/>
      <c r="AG734" s="5"/>
      <c r="AH734" s="5"/>
      <c r="AI734" s="5"/>
      <c r="AJ734" s="5"/>
      <c r="AK734" s="5"/>
      <c r="AL734" s="5"/>
      <c r="AM734" s="5"/>
      <c r="AN734" s="5"/>
      <c r="AO734" s="5"/>
      <c r="AP734" s="5"/>
      <c r="AQ734" s="5"/>
      <c r="AR734" s="5"/>
      <c r="AS734" s="5"/>
      <c r="AT734" s="5"/>
      <c r="AU734" s="5"/>
    </row>
    <row r="735" ht="15.7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5"/>
      <c r="AC735" s="5"/>
      <c r="AD735" s="5"/>
      <c r="AE735" s="5"/>
      <c r="AF735" s="5"/>
      <c r="AG735" s="5"/>
      <c r="AH735" s="5"/>
      <c r="AI735" s="5"/>
      <c r="AJ735" s="5"/>
      <c r="AK735" s="5"/>
      <c r="AL735" s="5"/>
      <c r="AM735" s="5"/>
      <c r="AN735" s="5"/>
      <c r="AO735" s="5"/>
      <c r="AP735" s="5"/>
      <c r="AQ735" s="5"/>
      <c r="AR735" s="5"/>
      <c r="AS735" s="5"/>
      <c r="AT735" s="5"/>
      <c r="AU735" s="5"/>
    </row>
    <row r="736" ht="15.7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c r="AB736" s="5"/>
      <c r="AC736" s="5"/>
      <c r="AD736" s="5"/>
      <c r="AE736" s="5"/>
      <c r="AF736" s="5"/>
      <c r="AG736" s="5"/>
      <c r="AH736" s="5"/>
      <c r="AI736" s="5"/>
      <c r="AJ736" s="5"/>
      <c r="AK736" s="5"/>
      <c r="AL736" s="5"/>
      <c r="AM736" s="5"/>
      <c r="AN736" s="5"/>
      <c r="AO736" s="5"/>
      <c r="AP736" s="5"/>
      <c r="AQ736" s="5"/>
      <c r="AR736" s="5"/>
      <c r="AS736" s="5"/>
      <c r="AT736" s="5"/>
      <c r="AU736" s="5"/>
    </row>
    <row r="737" ht="15.7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c r="AB737" s="5"/>
      <c r="AC737" s="5"/>
      <c r="AD737" s="5"/>
      <c r="AE737" s="5"/>
      <c r="AF737" s="5"/>
      <c r="AG737" s="5"/>
      <c r="AH737" s="5"/>
      <c r="AI737" s="5"/>
      <c r="AJ737" s="5"/>
      <c r="AK737" s="5"/>
      <c r="AL737" s="5"/>
      <c r="AM737" s="5"/>
      <c r="AN737" s="5"/>
      <c r="AO737" s="5"/>
      <c r="AP737" s="5"/>
      <c r="AQ737" s="5"/>
      <c r="AR737" s="5"/>
      <c r="AS737" s="5"/>
      <c r="AT737" s="5"/>
      <c r="AU737" s="5"/>
    </row>
    <row r="738" ht="15.7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c r="AC738" s="5"/>
      <c r="AD738" s="5"/>
      <c r="AE738" s="5"/>
      <c r="AF738" s="5"/>
      <c r="AG738" s="5"/>
      <c r="AH738" s="5"/>
      <c r="AI738" s="5"/>
      <c r="AJ738" s="5"/>
      <c r="AK738" s="5"/>
      <c r="AL738" s="5"/>
      <c r="AM738" s="5"/>
      <c r="AN738" s="5"/>
      <c r="AO738" s="5"/>
      <c r="AP738" s="5"/>
      <c r="AQ738" s="5"/>
      <c r="AR738" s="5"/>
      <c r="AS738" s="5"/>
      <c r="AT738" s="5"/>
      <c r="AU738" s="5"/>
    </row>
    <row r="739" ht="15.7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c r="AB739" s="5"/>
      <c r="AC739" s="5"/>
      <c r="AD739" s="5"/>
      <c r="AE739" s="5"/>
      <c r="AF739" s="5"/>
      <c r="AG739" s="5"/>
      <c r="AH739" s="5"/>
      <c r="AI739" s="5"/>
      <c r="AJ739" s="5"/>
      <c r="AK739" s="5"/>
      <c r="AL739" s="5"/>
      <c r="AM739" s="5"/>
      <c r="AN739" s="5"/>
      <c r="AO739" s="5"/>
      <c r="AP739" s="5"/>
      <c r="AQ739" s="5"/>
      <c r="AR739" s="5"/>
      <c r="AS739" s="5"/>
      <c r="AT739" s="5"/>
      <c r="AU739" s="5"/>
    </row>
    <row r="740" ht="15.7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c r="AB740" s="5"/>
      <c r="AC740" s="5"/>
      <c r="AD740" s="5"/>
      <c r="AE740" s="5"/>
      <c r="AF740" s="5"/>
      <c r="AG740" s="5"/>
      <c r="AH740" s="5"/>
      <c r="AI740" s="5"/>
      <c r="AJ740" s="5"/>
      <c r="AK740" s="5"/>
      <c r="AL740" s="5"/>
      <c r="AM740" s="5"/>
      <c r="AN740" s="5"/>
      <c r="AO740" s="5"/>
      <c r="AP740" s="5"/>
      <c r="AQ740" s="5"/>
      <c r="AR740" s="5"/>
      <c r="AS740" s="5"/>
      <c r="AT740" s="5"/>
      <c r="AU740" s="5"/>
    </row>
    <row r="741" ht="15.7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c r="AB741" s="5"/>
      <c r="AC741" s="5"/>
      <c r="AD741" s="5"/>
      <c r="AE741" s="5"/>
      <c r="AF741" s="5"/>
      <c r="AG741" s="5"/>
      <c r="AH741" s="5"/>
      <c r="AI741" s="5"/>
      <c r="AJ741" s="5"/>
      <c r="AK741" s="5"/>
      <c r="AL741" s="5"/>
      <c r="AM741" s="5"/>
      <c r="AN741" s="5"/>
      <c r="AO741" s="5"/>
      <c r="AP741" s="5"/>
      <c r="AQ741" s="5"/>
      <c r="AR741" s="5"/>
      <c r="AS741" s="5"/>
      <c r="AT741" s="5"/>
      <c r="AU741" s="5"/>
    </row>
    <row r="742" ht="15.7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c r="AC742" s="5"/>
      <c r="AD742" s="5"/>
      <c r="AE742" s="5"/>
      <c r="AF742" s="5"/>
      <c r="AG742" s="5"/>
      <c r="AH742" s="5"/>
      <c r="AI742" s="5"/>
      <c r="AJ742" s="5"/>
      <c r="AK742" s="5"/>
      <c r="AL742" s="5"/>
      <c r="AM742" s="5"/>
      <c r="AN742" s="5"/>
      <c r="AO742" s="5"/>
      <c r="AP742" s="5"/>
      <c r="AQ742" s="5"/>
      <c r="AR742" s="5"/>
      <c r="AS742" s="5"/>
      <c r="AT742" s="5"/>
      <c r="AU742" s="5"/>
    </row>
    <row r="743" ht="15.7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c r="AB743" s="5"/>
      <c r="AC743" s="5"/>
      <c r="AD743" s="5"/>
      <c r="AE743" s="5"/>
      <c r="AF743" s="5"/>
      <c r="AG743" s="5"/>
      <c r="AH743" s="5"/>
      <c r="AI743" s="5"/>
      <c r="AJ743" s="5"/>
      <c r="AK743" s="5"/>
      <c r="AL743" s="5"/>
      <c r="AM743" s="5"/>
      <c r="AN743" s="5"/>
      <c r="AO743" s="5"/>
      <c r="AP743" s="5"/>
      <c r="AQ743" s="5"/>
      <c r="AR743" s="5"/>
      <c r="AS743" s="5"/>
      <c r="AT743" s="5"/>
      <c r="AU743" s="5"/>
    </row>
    <row r="744" ht="15.7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c r="AC744" s="5"/>
      <c r="AD744" s="5"/>
      <c r="AE744" s="5"/>
      <c r="AF744" s="5"/>
      <c r="AG744" s="5"/>
      <c r="AH744" s="5"/>
      <c r="AI744" s="5"/>
      <c r="AJ744" s="5"/>
      <c r="AK744" s="5"/>
      <c r="AL744" s="5"/>
      <c r="AM744" s="5"/>
      <c r="AN744" s="5"/>
      <c r="AO744" s="5"/>
      <c r="AP744" s="5"/>
      <c r="AQ744" s="5"/>
      <c r="AR744" s="5"/>
      <c r="AS744" s="5"/>
      <c r="AT744" s="5"/>
      <c r="AU744" s="5"/>
    </row>
    <row r="745" ht="15.7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c r="AB745" s="5"/>
      <c r="AC745" s="5"/>
      <c r="AD745" s="5"/>
      <c r="AE745" s="5"/>
      <c r="AF745" s="5"/>
      <c r="AG745" s="5"/>
      <c r="AH745" s="5"/>
      <c r="AI745" s="5"/>
      <c r="AJ745" s="5"/>
      <c r="AK745" s="5"/>
      <c r="AL745" s="5"/>
      <c r="AM745" s="5"/>
      <c r="AN745" s="5"/>
      <c r="AO745" s="5"/>
      <c r="AP745" s="5"/>
      <c r="AQ745" s="5"/>
      <c r="AR745" s="5"/>
      <c r="AS745" s="5"/>
      <c r="AT745" s="5"/>
      <c r="AU745" s="5"/>
    </row>
    <row r="746" ht="15.7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c r="AB746" s="5"/>
      <c r="AC746" s="5"/>
      <c r="AD746" s="5"/>
      <c r="AE746" s="5"/>
      <c r="AF746" s="5"/>
      <c r="AG746" s="5"/>
      <c r="AH746" s="5"/>
      <c r="AI746" s="5"/>
      <c r="AJ746" s="5"/>
      <c r="AK746" s="5"/>
      <c r="AL746" s="5"/>
      <c r="AM746" s="5"/>
      <c r="AN746" s="5"/>
      <c r="AO746" s="5"/>
      <c r="AP746" s="5"/>
      <c r="AQ746" s="5"/>
      <c r="AR746" s="5"/>
      <c r="AS746" s="5"/>
      <c r="AT746" s="5"/>
      <c r="AU746" s="5"/>
    </row>
    <row r="747" ht="15.7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c r="AB747" s="5"/>
      <c r="AC747" s="5"/>
      <c r="AD747" s="5"/>
      <c r="AE747" s="5"/>
      <c r="AF747" s="5"/>
      <c r="AG747" s="5"/>
      <c r="AH747" s="5"/>
      <c r="AI747" s="5"/>
      <c r="AJ747" s="5"/>
      <c r="AK747" s="5"/>
      <c r="AL747" s="5"/>
      <c r="AM747" s="5"/>
      <c r="AN747" s="5"/>
      <c r="AO747" s="5"/>
      <c r="AP747" s="5"/>
      <c r="AQ747" s="5"/>
      <c r="AR747" s="5"/>
      <c r="AS747" s="5"/>
      <c r="AT747" s="5"/>
      <c r="AU747" s="5"/>
    </row>
    <row r="748" ht="15.7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c r="AB748" s="5"/>
      <c r="AC748" s="5"/>
      <c r="AD748" s="5"/>
      <c r="AE748" s="5"/>
      <c r="AF748" s="5"/>
      <c r="AG748" s="5"/>
      <c r="AH748" s="5"/>
      <c r="AI748" s="5"/>
      <c r="AJ748" s="5"/>
      <c r="AK748" s="5"/>
      <c r="AL748" s="5"/>
      <c r="AM748" s="5"/>
      <c r="AN748" s="5"/>
      <c r="AO748" s="5"/>
      <c r="AP748" s="5"/>
      <c r="AQ748" s="5"/>
      <c r="AR748" s="5"/>
      <c r="AS748" s="5"/>
      <c r="AT748" s="5"/>
      <c r="AU748" s="5"/>
    </row>
    <row r="749" ht="15.7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c r="AB749" s="5"/>
      <c r="AC749" s="5"/>
      <c r="AD749" s="5"/>
      <c r="AE749" s="5"/>
      <c r="AF749" s="5"/>
      <c r="AG749" s="5"/>
      <c r="AH749" s="5"/>
      <c r="AI749" s="5"/>
      <c r="AJ749" s="5"/>
      <c r="AK749" s="5"/>
      <c r="AL749" s="5"/>
      <c r="AM749" s="5"/>
      <c r="AN749" s="5"/>
      <c r="AO749" s="5"/>
      <c r="AP749" s="5"/>
      <c r="AQ749" s="5"/>
      <c r="AR749" s="5"/>
      <c r="AS749" s="5"/>
      <c r="AT749" s="5"/>
      <c r="AU749" s="5"/>
    </row>
    <row r="750" ht="15.7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c r="AC750" s="5"/>
      <c r="AD750" s="5"/>
      <c r="AE750" s="5"/>
      <c r="AF750" s="5"/>
      <c r="AG750" s="5"/>
      <c r="AH750" s="5"/>
      <c r="AI750" s="5"/>
      <c r="AJ750" s="5"/>
      <c r="AK750" s="5"/>
      <c r="AL750" s="5"/>
      <c r="AM750" s="5"/>
      <c r="AN750" s="5"/>
      <c r="AO750" s="5"/>
      <c r="AP750" s="5"/>
      <c r="AQ750" s="5"/>
      <c r="AR750" s="5"/>
      <c r="AS750" s="5"/>
      <c r="AT750" s="5"/>
      <c r="AU750" s="5"/>
    </row>
    <row r="751" ht="15.7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c r="AB751" s="5"/>
      <c r="AC751" s="5"/>
      <c r="AD751" s="5"/>
      <c r="AE751" s="5"/>
      <c r="AF751" s="5"/>
      <c r="AG751" s="5"/>
      <c r="AH751" s="5"/>
      <c r="AI751" s="5"/>
      <c r="AJ751" s="5"/>
      <c r="AK751" s="5"/>
      <c r="AL751" s="5"/>
      <c r="AM751" s="5"/>
      <c r="AN751" s="5"/>
      <c r="AO751" s="5"/>
      <c r="AP751" s="5"/>
      <c r="AQ751" s="5"/>
      <c r="AR751" s="5"/>
      <c r="AS751" s="5"/>
      <c r="AT751" s="5"/>
      <c r="AU751" s="5"/>
    </row>
    <row r="752" ht="15.7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c r="AC752" s="5"/>
      <c r="AD752" s="5"/>
      <c r="AE752" s="5"/>
      <c r="AF752" s="5"/>
      <c r="AG752" s="5"/>
      <c r="AH752" s="5"/>
      <c r="AI752" s="5"/>
      <c r="AJ752" s="5"/>
      <c r="AK752" s="5"/>
      <c r="AL752" s="5"/>
      <c r="AM752" s="5"/>
      <c r="AN752" s="5"/>
      <c r="AO752" s="5"/>
      <c r="AP752" s="5"/>
      <c r="AQ752" s="5"/>
      <c r="AR752" s="5"/>
      <c r="AS752" s="5"/>
      <c r="AT752" s="5"/>
      <c r="AU752" s="5"/>
    </row>
    <row r="753" ht="15.7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c r="AB753" s="5"/>
      <c r="AC753" s="5"/>
      <c r="AD753" s="5"/>
      <c r="AE753" s="5"/>
      <c r="AF753" s="5"/>
      <c r="AG753" s="5"/>
      <c r="AH753" s="5"/>
      <c r="AI753" s="5"/>
      <c r="AJ753" s="5"/>
      <c r="AK753" s="5"/>
      <c r="AL753" s="5"/>
      <c r="AM753" s="5"/>
      <c r="AN753" s="5"/>
      <c r="AO753" s="5"/>
      <c r="AP753" s="5"/>
      <c r="AQ753" s="5"/>
      <c r="AR753" s="5"/>
      <c r="AS753" s="5"/>
      <c r="AT753" s="5"/>
      <c r="AU753" s="5"/>
    </row>
    <row r="754" ht="15.7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c r="AB754" s="5"/>
      <c r="AC754" s="5"/>
      <c r="AD754" s="5"/>
      <c r="AE754" s="5"/>
      <c r="AF754" s="5"/>
      <c r="AG754" s="5"/>
      <c r="AH754" s="5"/>
      <c r="AI754" s="5"/>
      <c r="AJ754" s="5"/>
      <c r="AK754" s="5"/>
      <c r="AL754" s="5"/>
      <c r="AM754" s="5"/>
      <c r="AN754" s="5"/>
      <c r="AO754" s="5"/>
      <c r="AP754" s="5"/>
      <c r="AQ754" s="5"/>
      <c r="AR754" s="5"/>
      <c r="AS754" s="5"/>
      <c r="AT754" s="5"/>
      <c r="AU754" s="5"/>
    </row>
    <row r="755" ht="15.7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c r="AB755" s="5"/>
      <c r="AC755" s="5"/>
      <c r="AD755" s="5"/>
      <c r="AE755" s="5"/>
      <c r="AF755" s="5"/>
      <c r="AG755" s="5"/>
      <c r="AH755" s="5"/>
      <c r="AI755" s="5"/>
      <c r="AJ755" s="5"/>
      <c r="AK755" s="5"/>
      <c r="AL755" s="5"/>
      <c r="AM755" s="5"/>
      <c r="AN755" s="5"/>
      <c r="AO755" s="5"/>
      <c r="AP755" s="5"/>
      <c r="AQ755" s="5"/>
      <c r="AR755" s="5"/>
      <c r="AS755" s="5"/>
      <c r="AT755" s="5"/>
      <c r="AU755" s="5"/>
    </row>
    <row r="756" ht="15.7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c r="AC756" s="5"/>
      <c r="AD756" s="5"/>
      <c r="AE756" s="5"/>
      <c r="AF756" s="5"/>
      <c r="AG756" s="5"/>
      <c r="AH756" s="5"/>
      <c r="AI756" s="5"/>
      <c r="AJ756" s="5"/>
      <c r="AK756" s="5"/>
      <c r="AL756" s="5"/>
      <c r="AM756" s="5"/>
      <c r="AN756" s="5"/>
      <c r="AO756" s="5"/>
      <c r="AP756" s="5"/>
      <c r="AQ756" s="5"/>
      <c r="AR756" s="5"/>
      <c r="AS756" s="5"/>
      <c r="AT756" s="5"/>
      <c r="AU756" s="5"/>
    </row>
    <row r="757" ht="15.7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c r="AB757" s="5"/>
      <c r="AC757" s="5"/>
      <c r="AD757" s="5"/>
      <c r="AE757" s="5"/>
      <c r="AF757" s="5"/>
      <c r="AG757" s="5"/>
      <c r="AH757" s="5"/>
      <c r="AI757" s="5"/>
      <c r="AJ757" s="5"/>
      <c r="AK757" s="5"/>
      <c r="AL757" s="5"/>
      <c r="AM757" s="5"/>
      <c r="AN757" s="5"/>
      <c r="AO757" s="5"/>
      <c r="AP757" s="5"/>
      <c r="AQ757" s="5"/>
      <c r="AR757" s="5"/>
      <c r="AS757" s="5"/>
      <c r="AT757" s="5"/>
      <c r="AU757" s="5"/>
    </row>
    <row r="758" ht="15.7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c r="AB758" s="5"/>
      <c r="AC758" s="5"/>
      <c r="AD758" s="5"/>
      <c r="AE758" s="5"/>
      <c r="AF758" s="5"/>
      <c r="AG758" s="5"/>
      <c r="AH758" s="5"/>
      <c r="AI758" s="5"/>
      <c r="AJ758" s="5"/>
      <c r="AK758" s="5"/>
      <c r="AL758" s="5"/>
      <c r="AM758" s="5"/>
      <c r="AN758" s="5"/>
      <c r="AO758" s="5"/>
      <c r="AP758" s="5"/>
      <c r="AQ758" s="5"/>
      <c r="AR758" s="5"/>
      <c r="AS758" s="5"/>
      <c r="AT758" s="5"/>
      <c r="AU758" s="5"/>
    </row>
    <row r="759" ht="15.7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c r="AC759" s="5"/>
      <c r="AD759" s="5"/>
      <c r="AE759" s="5"/>
      <c r="AF759" s="5"/>
      <c r="AG759" s="5"/>
      <c r="AH759" s="5"/>
      <c r="AI759" s="5"/>
      <c r="AJ759" s="5"/>
      <c r="AK759" s="5"/>
      <c r="AL759" s="5"/>
      <c r="AM759" s="5"/>
      <c r="AN759" s="5"/>
      <c r="AO759" s="5"/>
      <c r="AP759" s="5"/>
      <c r="AQ759" s="5"/>
      <c r="AR759" s="5"/>
      <c r="AS759" s="5"/>
      <c r="AT759" s="5"/>
      <c r="AU759" s="5"/>
    </row>
    <row r="760" ht="15.7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c r="AB760" s="5"/>
      <c r="AC760" s="5"/>
      <c r="AD760" s="5"/>
      <c r="AE760" s="5"/>
      <c r="AF760" s="5"/>
      <c r="AG760" s="5"/>
      <c r="AH760" s="5"/>
      <c r="AI760" s="5"/>
      <c r="AJ760" s="5"/>
      <c r="AK760" s="5"/>
      <c r="AL760" s="5"/>
      <c r="AM760" s="5"/>
      <c r="AN760" s="5"/>
      <c r="AO760" s="5"/>
      <c r="AP760" s="5"/>
      <c r="AQ760" s="5"/>
      <c r="AR760" s="5"/>
      <c r="AS760" s="5"/>
      <c r="AT760" s="5"/>
      <c r="AU760" s="5"/>
    </row>
    <row r="761" ht="15.7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c r="AB761" s="5"/>
      <c r="AC761" s="5"/>
      <c r="AD761" s="5"/>
      <c r="AE761" s="5"/>
      <c r="AF761" s="5"/>
      <c r="AG761" s="5"/>
      <c r="AH761" s="5"/>
      <c r="AI761" s="5"/>
      <c r="AJ761" s="5"/>
      <c r="AK761" s="5"/>
      <c r="AL761" s="5"/>
      <c r="AM761" s="5"/>
      <c r="AN761" s="5"/>
      <c r="AO761" s="5"/>
      <c r="AP761" s="5"/>
      <c r="AQ761" s="5"/>
      <c r="AR761" s="5"/>
      <c r="AS761" s="5"/>
      <c r="AT761" s="5"/>
      <c r="AU761" s="5"/>
    </row>
    <row r="762" ht="15.7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c r="AC762" s="5"/>
      <c r="AD762" s="5"/>
      <c r="AE762" s="5"/>
      <c r="AF762" s="5"/>
      <c r="AG762" s="5"/>
      <c r="AH762" s="5"/>
      <c r="AI762" s="5"/>
      <c r="AJ762" s="5"/>
      <c r="AK762" s="5"/>
      <c r="AL762" s="5"/>
      <c r="AM762" s="5"/>
      <c r="AN762" s="5"/>
      <c r="AO762" s="5"/>
      <c r="AP762" s="5"/>
      <c r="AQ762" s="5"/>
      <c r="AR762" s="5"/>
      <c r="AS762" s="5"/>
      <c r="AT762" s="5"/>
      <c r="AU762" s="5"/>
    </row>
    <row r="763" ht="15.7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c r="AB763" s="5"/>
      <c r="AC763" s="5"/>
      <c r="AD763" s="5"/>
      <c r="AE763" s="5"/>
      <c r="AF763" s="5"/>
      <c r="AG763" s="5"/>
      <c r="AH763" s="5"/>
      <c r="AI763" s="5"/>
      <c r="AJ763" s="5"/>
      <c r="AK763" s="5"/>
      <c r="AL763" s="5"/>
      <c r="AM763" s="5"/>
      <c r="AN763" s="5"/>
      <c r="AO763" s="5"/>
      <c r="AP763" s="5"/>
      <c r="AQ763" s="5"/>
      <c r="AR763" s="5"/>
      <c r="AS763" s="5"/>
      <c r="AT763" s="5"/>
      <c r="AU763" s="5"/>
    </row>
    <row r="764" ht="15.7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c r="AB764" s="5"/>
      <c r="AC764" s="5"/>
      <c r="AD764" s="5"/>
      <c r="AE764" s="5"/>
      <c r="AF764" s="5"/>
      <c r="AG764" s="5"/>
      <c r="AH764" s="5"/>
      <c r="AI764" s="5"/>
      <c r="AJ764" s="5"/>
      <c r="AK764" s="5"/>
      <c r="AL764" s="5"/>
      <c r="AM764" s="5"/>
      <c r="AN764" s="5"/>
      <c r="AO764" s="5"/>
      <c r="AP764" s="5"/>
      <c r="AQ764" s="5"/>
      <c r="AR764" s="5"/>
      <c r="AS764" s="5"/>
      <c r="AT764" s="5"/>
      <c r="AU764" s="5"/>
    </row>
    <row r="765" ht="15.7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c r="AB765" s="5"/>
      <c r="AC765" s="5"/>
      <c r="AD765" s="5"/>
      <c r="AE765" s="5"/>
      <c r="AF765" s="5"/>
      <c r="AG765" s="5"/>
      <c r="AH765" s="5"/>
      <c r="AI765" s="5"/>
      <c r="AJ765" s="5"/>
      <c r="AK765" s="5"/>
      <c r="AL765" s="5"/>
      <c r="AM765" s="5"/>
      <c r="AN765" s="5"/>
      <c r="AO765" s="5"/>
      <c r="AP765" s="5"/>
      <c r="AQ765" s="5"/>
      <c r="AR765" s="5"/>
      <c r="AS765" s="5"/>
      <c r="AT765" s="5"/>
      <c r="AU765" s="5"/>
    </row>
    <row r="766" ht="15.7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c r="AC766" s="5"/>
      <c r="AD766" s="5"/>
      <c r="AE766" s="5"/>
      <c r="AF766" s="5"/>
      <c r="AG766" s="5"/>
      <c r="AH766" s="5"/>
      <c r="AI766" s="5"/>
      <c r="AJ766" s="5"/>
      <c r="AK766" s="5"/>
      <c r="AL766" s="5"/>
      <c r="AM766" s="5"/>
      <c r="AN766" s="5"/>
      <c r="AO766" s="5"/>
      <c r="AP766" s="5"/>
      <c r="AQ766" s="5"/>
      <c r="AR766" s="5"/>
      <c r="AS766" s="5"/>
      <c r="AT766" s="5"/>
      <c r="AU766" s="5"/>
    </row>
    <row r="767" ht="15.7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c r="AB767" s="5"/>
      <c r="AC767" s="5"/>
      <c r="AD767" s="5"/>
      <c r="AE767" s="5"/>
      <c r="AF767" s="5"/>
      <c r="AG767" s="5"/>
      <c r="AH767" s="5"/>
      <c r="AI767" s="5"/>
      <c r="AJ767" s="5"/>
      <c r="AK767" s="5"/>
      <c r="AL767" s="5"/>
      <c r="AM767" s="5"/>
      <c r="AN767" s="5"/>
      <c r="AO767" s="5"/>
      <c r="AP767" s="5"/>
      <c r="AQ767" s="5"/>
      <c r="AR767" s="5"/>
      <c r="AS767" s="5"/>
      <c r="AT767" s="5"/>
      <c r="AU767" s="5"/>
    </row>
    <row r="768" ht="15.7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c r="AC768" s="5"/>
      <c r="AD768" s="5"/>
      <c r="AE768" s="5"/>
      <c r="AF768" s="5"/>
      <c r="AG768" s="5"/>
      <c r="AH768" s="5"/>
      <c r="AI768" s="5"/>
      <c r="AJ768" s="5"/>
      <c r="AK768" s="5"/>
      <c r="AL768" s="5"/>
      <c r="AM768" s="5"/>
      <c r="AN768" s="5"/>
      <c r="AO768" s="5"/>
      <c r="AP768" s="5"/>
      <c r="AQ768" s="5"/>
      <c r="AR768" s="5"/>
      <c r="AS768" s="5"/>
      <c r="AT768" s="5"/>
      <c r="AU768" s="5"/>
    </row>
    <row r="769" ht="15.7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c r="AC769" s="5"/>
      <c r="AD769" s="5"/>
      <c r="AE769" s="5"/>
      <c r="AF769" s="5"/>
      <c r="AG769" s="5"/>
      <c r="AH769" s="5"/>
      <c r="AI769" s="5"/>
      <c r="AJ769" s="5"/>
      <c r="AK769" s="5"/>
      <c r="AL769" s="5"/>
      <c r="AM769" s="5"/>
      <c r="AN769" s="5"/>
      <c r="AO769" s="5"/>
      <c r="AP769" s="5"/>
      <c r="AQ769" s="5"/>
      <c r="AR769" s="5"/>
      <c r="AS769" s="5"/>
      <c r="AT769" s="5"/>
      <c r="AU769" s="5"/>
    </row>
    <row r="770" ht="15.7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c r="AB770" s="5"/>
      <c r="AC770" s="5"/>
      <c r="AD770" s="5"/>
      <c r="AE770" s="5"/>
      <c r="AF770" s="5"/>
      <c r="AG770" s="5"/>
      <c r="AH770" s="5"/>
      <c r="AI770" s="5"/>
      <c r="AJ770" s="5"/>
      <c r="AK770" s="5"/>
      <c r="AL770" s="5"/>
      <c r="AM770" s="5"/>
      <c r="AN770" s="5"/>
      <c r="AO770" s="5"/>
      <c r="AP770" s="5"/>
      <c r="AQ770" s="5"/>
      <c r="AR770" s="5"/>
      <c r="AS770" s="5"/>
      <c r="AT770" s="5"/>
      <c r="AU770" s="5"/>
    </row>
    <row r="771" ht="15.7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c r="AB771" s="5"/>
      <c r="AC771" s="5"/>
      <c r="AD771" s="5"/>
      <c r="AE771" s="5"/>
      <c r="AF771" s="5"/>
      <c r="AG771" s="5"/>
      <c r="AH771" s="5"/>
      <c r="AI771" s="5"/>
      <c r="AJ771" s="5"/>
      <c r="AK771" s="5"/>
      <c r="AL771" s="5"/>
      <c r="AM771" s="5"/>
      <c r="AN771" s="5"/>
      <c r="AO771" s="5"/>
      <c r="AP771" s="5"/>
      <c r="AQ771" s="5"/>
      <c r="AR771" s="5"/>
      <c r="AS771" s="5"/>
      <c r="AT771" s="5"/>
      <c r="AU771" s="5"/>
    </row>
    <row r="772" ht="15.7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c r="AB772" s="5"/>
      <c r="AC772" s="5"/>
      <c r="AD772" s="5"/>
      <c r="AE772" s="5"/>
      <c r="AF772" s="5"/>
      <c r="AG772" s="5"/>
      <c r="AH772" s="5"/>
      <c r="AI772" s="5"/>
      <c r="AJ772" s="5"/>
      <c r="AK772" s="5"/>
      <c r="AL772" s="5"/>
      <c r="AM772" s="5"/>
      <c r="AN772" s="5"/>
      <c r="AO772" s="5"/>
      <c r="AP772" s="5"/>
      <c r="AQ772" s="5"/>
      <c r="AR772" s="5"/>
      <c r="AS772" s="5"/>
      <c r="AT772" s="5"/>
      <c r="AU772" s="5"/>
    </row>
    <row r="773" ht="15.7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c r="AC773" s="5"/>
      <c r="AD773" s="5"/>
      <c r="AE773" s="5"/>
      <c r="AF773" s="5"/>
      <c r="AG773" s="5"/>
      <c r="AH773" s="5"/>
      <c r="AI773" s="5"/>
      <c r="AJ773" s="5"/>
      <c r="AK773" s="5"/>
      <c r="AL773" s="5"/>
      <c r="AM773" s="5"/>
      <c r="AN773" s="5"/>
      <c r="AO773" s="5"/>
      <c r="AP773" s="5"/>
      <c r="AQ773" s="5"/>
      <c r="AR773" s="5"/>
      <c r="AS773" s="5"/>
      <c r="AT773" s="5"/>
      <c r="AU773" s="5"/>
    </row>
    <row r="774" ht="15.7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c r="AC774" s="5"/>
      <c r="AD774" s="5"/>
      <c r="AE774" s="5"/>
      <c r="AF774" s="5"/>
      <c r="AG774" s="5"/>
      <c r="AH774" s="5"/>
      <c r="AI774" s="5"/>
      <c r="AJ774" s="5"/>
      <c r="AK774" s="5"/>
      <c r="AL774" s="5"/>
      <c r="AM774" s="5"/>
      <c r="AN774" s="5"/>
      <c r="AO774" s="5"/>
      <c r="AP774" s="5"/>
      <c r="AQ774" s="5"/>
      <c r="AR774" s="5"/>
      <c r="AS774" s="5"/>
      <c r="AT774" s="5"/>
      <c r="AU774" s="5"/>
    </row>
    <row r="775" ht="15.7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c r="AB775" s="5"/>
      <c r="AC775" s="5"/>
      <c r="AD775" s="5"/>
      <c r="AE775" s="5"/>
      <c r="AF775" s="5"/>
      <c r="AG775" s="5"/>
      <c r="AH775" s="5"/>
      <c r="AI775" s="5"/>
      <c r="AJ775" s="5"/>
      <c r="AK775" s="5"/>
      <c r="AL775" s="5"/>
      <c r="AM775" s="5"/>
      <c r="AN775" s="5"/>
      <c r="AO775" s="5"/>
      <c r="AP775" s="5"/>
      <c r="AQ775" s="5"/>
      <c r="AR775" s="5"/>
      <c r="AS775" s="5"/>
      <c r="AT775" s="5"/>
      <c r="AU775" s="5"/>
    </row>
    <row r="776" ht="15.7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c r="AC776" s="5"/>
      <c r="AD776" s="5"/>
      <c r="AE776" s="5"/>
      <c r="AF776" s="5"/>
      <c r="AG776" s="5"/>
      <c r="AH776" s="5"/>
      <c r="AI776" s="5"/>
      <c r="AJ776" s="5"/>
      <c r="AK776" s="5"/>
      <c r="AL776" s="5"/>
      <c r="AM776" s="5"/>
      <c r="AN776" s="5"/>
      <c r="AO776" s="5"/>
      <c r="AP776" s="5"/>
      <c r="AQ776" s="5"/>
      <c r="AR776" s="5"/>
      <c r="AS776" s="5"/>
      <c r="AT776" s="5"/>
      <c r="AU776" s="5"/>
    </row>
    <row r="777" ht="15.7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c r="AB777" s="5"/>
      <c r="AC777" s="5"/>
      <c r="AD777" s="5"/>
      <c r="AE777" s="5"/>
      <c r="AF777" s="5"/>
      <c r="AG777" s="5"/>
      <c r="AH777" s="5"/>
      <c r="AI777" s="5"/>
      <c r="AJ777" s="5"/>
      <c r="AK777" s="5"/>
      <c r="AL777" s="5"/>
      <c r="AM777" s="5"/>
      <c r="AN777" s="5"/>
      <c r="AO777" s="5"/>
      <c r="AP777" s="5"/>
      <c r="AQ777" s="5"/>
      <c r="AR777" s="5"/>
      <c r="AS777" s="5"/>
      <c r="AT777" s="5"/>
      <c r="AU777" s="5"/>
    </row>
    <row r="778" ht="15.7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c r="AB778" s="5"/>
      <c r="AC778" s="5"/>
      <c r="AD778" s="5"/>
      <c r="AE778" s="5"/>
      <c r="AF778" s="5"/>
      <c r="AG778" s="5"/>
      <c r="AH778" s="5"/>
      <c r="AI778" s="5"/>
      <c r="AJ778" s="5"/>
      <c r="AK778" s="5"/>
      <c r="AL778" s="5"/>
      <c r="AM778" s="5"/>
      <c r="AN778" s="5"/>
      <c r="AO778" s="5"/>
      <c r="AP778" s="5"/>
      <c r="AQ778" s="5"/>
      <c r="AR778" s="5"/>
      <c r="AS778" s="5"/>
      <c r="AT778" s="5"/>
      <c r="AU778" s="5"/>
    </row>
    <row r="779" ht="15.7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c r="AB779" s="5"/>
      <c r="AC779" s="5"/>
      <c r="AD779" s="5"/>
      <c r="AE779" s="5"/>
      <c r="AF779" s="5"/>
      <c r="AG779" s="5"/>
      <c r="AH779" s="5"/>
      <c r="AI779" s="5"/>
      <c r="AJ779" s="5"/>
      <c r="AK779" s="5"/>
      <c r="AL779" s="5"/>
      <c r="AM779" s="5"/>
      <c r="AN779" s="5"/>
      <c r="AO779" s="5"/>
      <c r="AP779" s="5"/>
      <c r="AQ779" s="5"/>
      <c r="AR779" s="5"/>
      <c r="AS779" s="5"/>
      <c r="AT779" s="5"/>
      <c r="AU779" s="5"/>
    </row>
    <row r="780" ht="15.7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c r="AC780" s="5"/>
      <c r="AD780" s="5"/>
      <c r="AE780" s="5"/>
      <c r="AF780" s="5"/>
      <c r="AG780" s="5"/>
      <c r="AH780" s="5"/>
      <c r="AI780" s="5"/>
      <c r="AJ780" s="5"/>
      <c r="AK780" s="5"/>
      <c r="AL780" s="5"/>
      <c r="AM780" s="5"/>
      <c r="AN780" s="5"/>
      <c r="AO780" s="5"/>
      <c r="AP780" s="5"/>
      <c r="AQ780" s="5"/>
      <c r="AR780" s="5"/>
      <c r="AS780" s="5"/>
      <c r="AT780" s="5"/>
      <c r="AU780" s="5"/>
    </row>
    <row r="781" ht="15.7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c r="AC781" s="5"/>
      <c r="AD781" s="5"/>
      <c r="AE781" s="5"/>
      <c r="AF781" s="5"/>
      <c r="AG781" s="5"/>
      <c r="AH781" s="5"/>
      <c r="AI781" s="5"/>
      <c r="AJ781" s="5"/>
      <c r="AK781" s="5"/>
      <c r="AL781" s="5"/>
      <c r="AM781" s="5"/>
      <c r="AN781" s="5"/>
      <c r="AO781" s="5"/>
      <c r="AP781" s="5"/>
      <c r="AQ781" s="5"/>
      <c r="AR781" s="5"/>
      <c r="AS781" s="5"/>
      <c r="AT781" s="5"/>
      <c r="AU781" s="5"/>
    </row>
    <row r="782" ht="15.7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c r="AB782" s="5"/>
      <c r="AC782" s="5"/>
      <c r="AD782" s="5"/>
      <c r="AE782" s="5"/>
      <c r="AF782" s="5"/>
      <c r="AG782" s="5"/>
      <c r="AH782" s="5"/>
      <c r="AI782" s="5"/>
      <c r="AJ782" s="5"/>
      <c r="AK782" s="5"/>
      <c r="AL782" s="5"/>
      <c r="AM782" s="5"/>
      <c r="AN782" s="5"/>
      <c r="AO782" s="5"/>
      <c r="AP782" s="5"/>
      <c r="AQ782" s="5"/>
      <c r="AR782" s="5"/>
      <c r="AS782" s="5"/>
      <c r="AT782" s="5"/>
      <c r="AU782" s="5"/>
    </row>
    <row r="783" ht="15.7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c r="AC783" s="5"/>
      <c r="AD783" s="5"/>
      <c r="AE783" s="5"/>
      <c r="AF783" s="5"/>
      <c r="AG783" s="5"/>
      <c r="AH783" s="5"/>
      <c r="AI783" s="5"/>
      <c r="AJ783" s="5"/>
      <c r="AK783" s="5"/>
      <c r="AL783" s="5"/>
      <c r="AM783" s="5"/>
      <c r="AN783" s="5"/>
      <c r="AO783" s="5"/>
      <c r="AP783" s="5"/>
      <c r="AQ783" s="5"/>
      <c r="AR783" s="5"/>
      <c r="AS783" s="5"/>
      <c r="AT783" s="5"/>
      <c r="AU783" s="5"/>
    </row>
    <row r="784" ht="15.7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c r="AB784" s="5"/>
      <c r="AC784" s="5"/>
      <c r="AD784" s="5"/>
      <c r="AE784" s="5"/>
      <c r="AF784" s="5"/>
      <c r="AG784" s="5"/>
      <c r="AH784" s="5"/>
      <c r="AI784" s="5"/>
      <c r="AJ784" s="5"/>
      <c r="AK784" s="5"/>
      <c r="AL784" s="5"/>
      <c r="AM784" s="5"/>
      <c r="AN784" s="5"/>
      <c r="AO784" s="5"/>
      <c r="AP784" s="5"/>
      <c r="AQ784" s="5"/>
      <c r="AR784" s="5"/>
      <c r="AS784" s="5"/>
      <c r="AT784" s="5"/>
      <c r="AU784" s="5"/>
    </row>
    <row r="785" ht="15.7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c r="AB785" s="5"/>
      <c r="AC785" s="5"/>
      <c r="AD785" s="5"/>
      <c r="AE785" s="5"/>
      <c r="AF785" s="5"/>
      <c r="AG785" s="5"/>
      <c r="AH785" s="5"/>
      <c r="AI785" s="5"/>
      <c r="AJ785" s="5"/>
      <c r="AK785" s="5"/>
      <c r="AL785" s="5"/>
      <c r="AM785" s="5"/>
      <c r="AN785" s="5"/>
      <c r="AO785" s="5"/>
      <c r="AP785" s="5"/>
      <c r="AQ785" s="5"/>
      <c r="AR785" s="5"/>
      <c r="AS785" s="5"/>
      <c r="AT785" s="5"/>
      <c r="AU785" s="5"/>
    </row>
    <row r="786" ht="15.7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c r="AC786" s="5"/>
      <c r="AD786" s="5"/>
      <c r="AE786" s="5"/>
      <c r="AF786" s="5"/>
      <c r="AG786" s="5"/>
      <c r="AH786" s="5"/>
      <c r="AI786" s="5"/>
      <c r="AJ786" s="5"/>
      <c r="AK786" s="5"/>
      <c r="AL786" s="5"/>
      <c r="AM786" s="5"/>
      <c r="AN786" s="5"/>
      <c r="AO786" s="5"/>
      <c r="AP786" s="5"/>
      <c r="AQ786" s="5"/>
      <c r="AR786" s="5"/>
      <c r="AS786" s="5"/>
      <c r="AT786" s="5"/>
      <c r="AU786" s="5"/>
    </row>
    <row r="787" ht="15.7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c r="AB787" s="5"/>
      <c r="AC787" s="5"/>
      <c r="AD787" s="5"/>
      <c r="AE787" s="5"/>
      <c r="AF787" s="5"/>
      <c r="AG787" s="5"/>
      <c r="AH787" s="5"/>
      <c r="AI787" s="5"/>
      <c r="AJ787" s="5"/>
      <c r="AK787" s="5"/>
      <c r="AL787" s="5"/>
      <c r="AM787" s="5"/>
      <c r="AN787" s="5"/>
      <c r="AO787" s="5"/>
      <c r="AP787" s="5"/>
      <c r="AQ787" s="5"/>
      <c r="AR787" s="5"/>
      <c r="AS787" s="5"/>
      <c r="AT787" s="5"/>
      <c r="AU787" s="5"/>
    </row>
    <row r="788" ht="15.7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c r="AB788" s="5"/>
      <c r="AC788" s="5"/>
      <c r="AD788" s="5"/>
      <c r="AE788" s="5"/>
      <c r="AF788" s="5"/>
      <c r="AG788" s="5"/>
      <c r="AH788" s="5"/>
      <c r="AI788" s="5"/>
      <c r="AJ788" s="5"/>
      <c r="AK788" s="5"/>
      <c r="AL788" s="5"/>
      <c r="AM788" s="5"/>
      <c r="AN788" s="5"/>
      <c r="AO788" s="5"/>
      <c r="AP788" s="5"/>
      <c r="AQ788" s="5"/>
      <c r="AR788" s="5"/>
      <c r="AS788" s="5"/>
      <c r="AT788" s="5"/>
      <c r="AU788" s="5"/>
    </row>
    <row r="789" ht="15.7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c r="AC789" s="5"/>
      <c r="AD789" s="5"/>
      <c r="AE789" s="5"/>
      <c r="AF789" s="5"/>
      <c r="AG789" s="5"/>
      <c r="AH789" s="5"/>
      <c r="AI789" s="5"/>
      <c r="AJ789" s="5"/>
      <c r="AK789" s="5"/>
      <c r="AL789" s="5"/>
      <c r="AM789" s="5"/>
      <c r="AN789" s="5"/>
      <c r="AO789" s="5"/>
      <c r="AP789" s="5"/>
      <c r="AQ789" s="5"/>
      <c r="AR789" s="5"/>
      <c r="AS789" s="5"/>
      <c r="AT789" s="5"/>
      <c r="AU789" s="5"/>
    </row>
    <row r="790" ht="15.7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c r="AB790" s="5"/>
      <c r="AC790" s="5"/>
      <c r="AD790" s="5"/>
      <c r="AE790" s="5"/>
      <c r="AF790" s="5"/>
      <c r="AG790" s="5"/>
      <c r="AH790" s="5"/>
      <c r="AI790" s="5"/>
      <c r="AJ790" s="5"/>
      <c r="AK790" s="5"/>
      <c r="AL790" s="5"/>
      <c r="AM790" s="5"/>
      <c r="AN790" s="5"/>
      <c r="AO790" s="5"/>
      <c r="AP790" s="5"/>
      <c r="AQ790" s="5"/>
      <c r="AR790" s="5"/>
      <c r="AS790" s="5"/>
      <c r="AT790" s="5"/>
      <c r="AU790" s="5"/>
    </row>
    <row r="791" ht="15.7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c r="AC791" s="5"/>
      <c r="AD791" s="5"/>
      <c r="AE791" s="5"/>
      <c r="AF791" s="5"/>
      <c r="AG791" s="5"/>
      <c r="AH791" s="5"/>
      <c r="AI791" s="5"/>
      <c r="AJ791" s="5"/>
      <c r="AK791" s="5"/>
      <c r="AL791" s="5"/>
      <c r="AM791" s="5"/>
      <c r="AN791" s="5"/>
      <c r="AO791" s="5"/>
      <c r="AP791" s="5"/>
      <c r="AQ791" s="5"/>
      <c r="AR791" s="5"/>
      <c r="AS791" s="5"/>
      <c r="AT791" s="5"/>
      <c r="AU791" s="5"/>
    </row>
    <row r="792" ht="15.7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c r="AC792" s="5"/>
      <c r="AD792" s="5"/>
      <c r="AE792" s="5"/>
      <c r="AF792" s="5"/>
      <c r="AG792" s="5"/>
      <c r="AH792" s="5"/>
      <c r="AI792" s="5"/>
      <c r="AJ792" s="5"/>
      <c r="AK792" s="5"/>
      <c r="AL792" s="5"/>
      <c r="AM792" s="5"/>
      <c r="AN792" s="5"/>
      <c r="AO792" s="5"/>
      <c r="AP792" s="5"/>
      <c r="AQ792" s="5"/>
      <c r="AR792" s="5"/>
      <c r="AS792" s="5"/>
      <c r="AT792" s="5"/>
      <c r="AU792" s="5"/>
    </row>
    <row r="793" ht="15.7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c r="AB793" s="5"/>
      <c r="AC793" s="5"/>
      <c r="AD793" s="5"/>
      <c r="AE793" s="5"/>
      <c r="AF793" s="5"/>
      <c r="AG793" s="5"/>
      <c r="AH793" s="5"/>
      <c r="AI793" s="5"/>
      <c r="AJ793" s="5"/>
      <c r="AK793" s="5"/>
      <c r="AL793" s="5"/>
      <c r="AM793" s="5"/>
      <c r="AN793" s="5"/>
      <c r="AO793" s="5"/>
      <c r="AP793" s="5"/>
      <c r="AQ793" s="5"/>
      <c r="AR793" s="5"/>
      <c r="AS793" s="5"/>
      <c r="AT793" s="5"/>
      <c r="AU793" s="5"/>
    </row>
    <row r="794" ht="15.7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c r="AB794" s="5"/>
      <c r="AC794" s="5"/>
      <c r="AD794" s="5"/>
      <c r="AE794" s="5"/>
      <c r="AF794" s="5"/>
      <c r="AG794" s="5"/>
      <c r="AH794" s="5"/>
      <c r="AI794" s="5"/>
      <c r="AJ794" s="5"/>
      <c r="AK794" s="5"/>
      <c r="AL794" s="5"/>
      <c r="AM794" s="5"/>
      <c r="AN794" s="5"/>
      <c r="AO794" s="5"/>
      <c r="AP794" s="5"/>
      <c r="AQ794" s="5"/>
      <c r="AR794" s="5"/>
      <c r="AS794" s="5"/>
      <c r="AT794" s="5"/>
      <c r="AU794" s="5"/>
    </row>
    <row r="795" ht="15.7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c r="AB795" s="5"/>
      <c r="AC795" s="5"/>
      <c r="AD795" s="5"/>
      <c r="AE795" s="5"/>
      <c r="AF795" s="5"/>
      <c r="AG795" s="5"/>
      <c r="AH795" s="5"/>
      <c r="AI795" s="5"/>
      <c r="AJ795" s="5"/>
      <c r="AK795" s="5"/>
      <c r="AL795" s="5"/>
      <c r="AM795" s="5"/>
      <c r="AN795" s="5"/>
      <c r="AO795" s="5"/>
      <c r="AP795" s="5"/>
      <c r="AQ795" s="5"/>
      <c r="AR795" s="5"/>
      <c r="AS795" s="5"/>
      <c r="AT795" s="5"/>
      <c r="AU795" s="5"/>
    </row>
    <row r="796" ht="15.7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c r="AC796" s="5"/>
      <c r="AD796" s="5"/>
      <c r="AE796" s="5"/>
      <c r="AF796" s="5"/>
      <c r="AG796" s="5"/>
      <c r="AH796" s="5"/>
      <c r="AI796" s="5"/>
      <c r="AJ796" s="5"/>
      <c r="AK796" s="5"/>
      <c r="AL796" s="5"/>
      <c r="AM796" s="5"/>
      <c r="AN796" s="5"/>
      <c r="AO796" s="5"/>
      <c r="AP796" s="5"/>
      <c r="AQ796" s="5"/>
      <c r="AR796" s="5"/>
      <c r="AS796" s="5"/>
      <c r="AT796" s="5"/>
      <c r="AU796" s="5"/>
    </row>
    <row r="797" ht="15.7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c r="AB797" s="5"/>
      <c r="AC797" s="5"/>
      <c r="AD797" s="5"/>
      <c r="AE797" s="5"/>
      <c r="AF797" s="5"/>
      <c r="AG797" s="5"/>
      <c r="AH797" s="5"/>
      <c r="AI797" s="5"/>
      <c r="AJ797" s="5"/>
      <c r="AK797" s="5"/>
      <c r="AL797" s="5"/>
      <c r="AM797" s="5"/>
      <c r="AN797" s="5"/>
      <c r="AO797" s="5"/>
      <c r="AP797" s="5"/>
      <c r="AQ797" s="5"/>
      <c r="AR797" s="5"/>
      <c r="AS797" s="5"/>
      <c r="AT797" s="5"/>
      <c r="AU797" s="5"/>
    </row>
    <row r="798" ht="15.7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c r="AC798" s="5"/>
      <c r="AD798" s="5"/>
      <c r="AE798" s="5"/>
      <c r="AF798" s="5"/>
      <c r="AG798" s="5"/>
      <c r="AH798" s="5"/>
      <c r="AI798" s="5"/>
      <c r="AJ798" s="5"/>
      <c r="AK798" s="5"/>
      <c r="AL798" s="5"/>
      <c r="AM798" s="5"/>
      <c r="AN798" s="5"/>
      <c r="AO798" s="5"/>
      <c r="AP798" s="5"/>
      <c r="AQ798" s="5"/>
      <c r="AR798" s="5"/>
      <c r="AS798" s="5"/>
      <c r="AT798" s="5"/>
      <c r="AU798" s="5"/>
    </row>
    <row r="799" ht="15.7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c r="AC799" s="5"/>
      <c r="AD799" s="5"/>
      <c r="AE799" s="5"/>
      <c r="AF799" s="5"/>
      <c r="AG799" s="5"/>
      <c r="AH799" s="5"/>
      <c r="AI799" s="5"/>
      <c r="AJ799" s="5"/>
      <c r="AK799" s="5"/>
      <c r="AL799" s="5"/>
      <c r="AM799" s="5"/>
      <c r="AN799" s="5"/>
      <c r="AO799" s="5"/>
      <c r="AP799" s="5"/>
      <c r="AQ799" s="5"/>
      <c r="AR799" s="5"/>
      <c r="AS799" s="5"/>
      <c r="AT799" s="5"/>
      <c r="AU799" s="5"/>
    </row>
    <row r="800" ht="15.7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c r="AB800" s="5"/>
      <c r="AC800" s="5"/>
      <c r="AD800" s="5"/>
      <c r="AE800" s="5"/>
      <c r="AF800" s="5"/>
      <c r="AG800" s="5"/>
      <c r="AH800" s="5"/>
      <c r="AI800" s="5"/>
      <c r="AJ800" s="5"/>
      <c r="AK800" s="5"/>
      <c r="AL800" s="5"/>
      <c r="AM800" s="5"/>
      <c r="AN800" s="5"/>
      <c r="AO800" s="5"/>
      <c r="AP800" s="5"/>
      <c r="AQ800" s="5"/>
      <c r="AR800" s="5"/>
      <c r="AS800" s="5"/>
      <c r="AT800" s="5"/>
      <c r="AU800" s="5"/>
    </row>
    <row r="801" ht="15.7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c r="AB801" s="5"/>
      <c r="AC801" s="5"/>
      <c r="AD801" s="5"/>
      <c r="AE801" s="5"/>
      <c r="AF801" s="5"/>
      <c r="AG801" s="5"/>
      <c r="AH801" s="5"/>
      <c r="AI801" s="5"/>
      <c r="AJ801" s="5"/>
      <c r="AK801" s="5"/>
      <c r="AL801" s="5"/>
      <c r="AM801" s="5"/>
      <c r="AN801" s="5"/>
      <c r="AO801" s="5"/>
      <c r="AP801" s="5"/>
      <c r="AQ801" s="5"/>
      <c r="AR801" s="5"/>
      <c r="AS801" s="5"/>
      <c r="AT801" s="5"/>
      <c r="AU801" s="5"/>
    </row>
    <row r="802" ht="15.7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c r="AB802" s="5"/>
      <c r="AC802" s="5"/>
      <c r="AD802" s="5"/>
      <c r="AE802" s="5"/>
      <c r="AF802" s="5"/>
      <c r="AG802" s="5"/>
      <c r="AH802" s="5"/>
      <c r="AI802" s="5"/>
      <c r="AJ802" s="5"/>
      <c r="AK802" s="5"/>
      <c r="AL802" s="5"/>
      <c r="AM802" s="5"/>
      <c r="AN802" s="5"/>
      <c r="AO802" s="5"/>
      <c r="AP802" s="5"/>
      <c r="AQ802" s="5"/>
      <c r="AR802" s="5"/>
      <c r="AS802" s="5"/>
      <c r="AT802" s="5"/>
      <c r="AU802" s="5"/>
    </row>
    <row r="803" ht="15.7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c r="AB803" s="5"/>
      <c r="AC803" s="5"/>
      <c r="AD803" s="5"/>
      <c r="AE803" s="5"/>
      <c r="AF803" s="5"/>
      <c r="AG803" s="5"/>
      <c r="AH803" s="5"/>
      <c r="AI803" s="5"/>
      <c r="AJ803" s="5"/>
      <c r="AK803" s="5"/>
      <c r="AL803" s="5"/>
      <c r="AM803" s="5"/>
      <c r="AN803" s="5"/>
      <c r="AO803" s="5"/>
      <c r="AP803" s="5"/>
      <c r="AQ803" s="5"/>
      <c r="AR803" s="5"/>
      <c r="AS803" s="5"/>
      <c r="AT803" s="5"/>
      <c r="AU803" s="5"/>
    </row>
    <row r="804" ht="15.7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c r="AC804" s="5"/>
      <c r="AD804" s="5"/>
      <c r="AE804" s="5"/>
      <c r="AF804" s="5"/>
      <c r="AG804" s="5"/>
      <c r="AH804" s="5"/>
      <c r="AI804" s="5"/>
      <c r="AJ804" s="5"/>
      <c r="AK804" s="5"/>
      <c r="AL804" s="5"/>
      <c r="AM804" s="5"/>
      <c r="AN804" s="5"/>
      <c r="AO804" s="5"/>
      <c r="AP804" s="5"/>
      <c r="AQ804" s="5"/>
      <c r="AR804" s="5"/>
      <c r="AS804" s="5"/>
      <c r="AT804" s="5"/>
      <c r="AU804" s="5"/>
    </row>
    <row r="805" ht="15.7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c r="AB805" s="5"/>
      <c r="AC805" s="5"/>
      <c r="AD805" s="5"/>
      <c r="AE805" s="5"/>
      <c r="AF805" s="5"/>
      <c r="AG805" s="5"/>
      <c r="AH805" s="5"/>
      <c r="AI805" s="5"/>
      <c r="AJ805" s="5"/>
      <c r="AK805" s="5"/>
      <c r="AL805" s="5"/>
      <c r="AM805" s="5"/>
      <c r="AN805" s="5"/>
      <c r="AO805" s="5"/>
      <c r="AP805" s="5"/>
      <c r="AQ805" s="5"/>
      <c r="AR805" s="5"/>
      <c r="AS805" s="5"/>
      <c r="AT805" s="5"/>
      <c r="AU805" s="5"/>
    </row>
    <row r="806" ht="15.7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c r="AC806" s="5"/>
      <c r="AD806" s="5"/>
      <c r="AE806" s="5"/>
      <c r="AF806" s="5"/>
      <c r="AG806" s="5"/>
      <c r="AH806" s="5"/>
      <c r="AI806" s="5"/>
      <c r="AJ806" s="5"/>
      <c r="AK806" s="5"/>
      <c r="AL806" s="5"/>
      <c r="AM806" s="5"/>
      <c r="AN806" s="5"/>
      <c r="AO806" s="5"/>
      <c r="AP806" s="5"/>
      <c r="AQ806" s="5"/>
      <c r="AR806" s="5"/>
      <c r="AS806" s="5"/>
      <c r="AT806" s="5"/>
      <c r="AU806" s="5"/>
    </row>
    <row r="807" ht="15.7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c r="AB807" s="5"/>
      <c r="AC807" s="5"/>
      <c r="AD807" s="5"/>
      <c r="AE807" s="5"/>
      <c r="AF807" s="5"/>
      <c r="AG807" s="5"/>
      <c r="AH807" s="5"/>
      <c r="AI807" s="5"/>
      <c r="AJ807" s="5"/>
      <c r="AK807" s="5"/>
      <c r="AL807" s="5"/>
      <c r="AM807" s="5"/>
      <c r="AN807" s="5"/>
      <c r="AO807" s="5"/>
      <c r="AP807" s="5"/>
      <c r="AQ807" s="5"/>
      <c r="AR807" s="5"/>
      <c r="AS807" s="5"/>
      <c r="AT807" s="5"/>
      <c r="AU807" s="5"/>
    </row>
    <row r="808" ht="15.7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c r="AB808" s="5"/>
      <c r="AC808" s="5"/>
      <c r="AD808" s="5"/>
      <c r="AE808" s="5"/>
      <c r="AF808" s="5"/>
      <c r="AG808" s="5"/>
      <c r="AH808" s="5"/>
      <c r="AI808" s="5"/>
      <c r="AJ808" s="5"/>
      <c r="AK808" s="5"/>
      <c r="AL808" s="5"/>
      <c r="AM808" s="5"/>
      <c r="AN808" s="5"/>
      <c r="AO808" s="5"/>
      <c r="AP808" s="5"/>
      <c r="AQ808" s="5"/>
      <c r="AR808" s="5"/>
      <c r="AS808" s="5"/>
      <c r="AT808" s="5"/>
      <c r="AU808" s="5"/>
    </row>
    <row r="809" ht="15.7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c r="AB809" s="5"/>
      <c r="AC809" s="5"/>
      <c r="AD809" s="5"/>
      <c r="AE809" s="5"/>
      <c r="AF809" s="5"/>
      <c r="AG809" s="5"/>
      <c r="AH809" s="5"/>
      <c r="AI809" s="5"/>
      <c r="AJ809" s="5"/>
      <c r="AK809" s="5"/>
      <c r="AL809" s="5"/>
      <c r="AM809" s="5"/>
      <c r="AN809" s="5"/>
      <c r="AO809" s="5"/>
      <c r="AP809" s="5"/>
      <c r="AQ809" s="5"/>
      <c r="AR809" s="5"/>
      <c r="AS809" s="5"/>
      <c r="AT809" s="5"/>
      <c r="AU809" s="5"/>
    </row>
    <row r="810" ht="15.7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c r="AC810" s="5"/>
      <c r="AD810" s="5"/>
      <c r="AE810" s="5"/>
      <c r="AF810" s="5"/>
      <c r="AG810" s="5"/>
      <c r="AH810" s="5"/>
      <c r="AI810" s="5"/>
      <c r="AJ810" s="5"/>
      <c r="AK810" s="5"/>
      <c r="AL810" s="5"/>
      <c r="AM810" s="5"/>
      <c r="AN810" s="5"/>
      <c r="AO810" s="5"/>
      <c r="AP810" s="5"/>
      <c r="AQ810" s="5"/>
      <c r="AR810" s="5"/>
      <c r="AS810" s="5"/>
      <c r="AT810" s="5"/>
      <c r="AU810" s="5"/>
    </row>
    <row r="811" ht="15.7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c r="AB811" s="5"/>
      <c r="AC811" s="5"/>
      <c r="AD811" s="5"/>
      <c r="AE811" s="5"/>
      <c r="AF811" s="5"/>
      <c r="AG811" s="5"/>
      <c r="AH811" s="5"/>
      <c r="AI811" s="5"/>
      <c r="AJ811" s="5"/>
      <c r="AK811" s="5"/>
      <c r="AL811" s="5"/>
      <c r="AM811" s="5"/>
      <c r="AN811" s="5"/>
      <c r="AO811" s="5"/>
      <c r="AP811" s="5"/>
      <c r="AQ811" s="5"/>
      <c r="AR811" s="5"/>
      <c r="AS811" s="5"/>
      <c r="AT811" s="5"/>
      <c r="AU811" s="5"/>
    </row>
    <row r="812" ht="15.7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c r="AB812" s="5"/>
      <c r="AC812" s="5"/>
      <c r="AD812" s="5"/>
      <c r="AE812" s="5"/>
      <c r="AF812" s="5"/>
      <c r="AG812" s="5"/>
      <c r="AH812" s="5"/>
      <c r="AI812" s="5"/>
      <c r="AJ812" s="5"/>
      <c r="AK812" s="5"/>
      <c r="AL812" s="5"/>
      <c r="AM812" s="5"/>
      <c r="AN812" s="5"/>
      <c r="AO812" s="5"/>
      <c r="AP812" s="5"/>
      <c r="AQ812" s="5"/>
      <c r="AR812" s="5"/>
      <c r="AS812" s="5"/>
      <c r="AT812" s="5"/>
      <c r="AU812" s="5"/>
    </row>
    <row r="813" ht="15.7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c r="AB813" s="5"/>
      <c r="AC813" s="5"/>
      <c r="AD813" s="5"/>
      <c r="AE813" s="5"/>
      <c r="AF813" s="5"/>
      <c r="AG813" s="5"/>
      <c r="AH813" s="5"/>
      <c r="AI813" s="5"/>
      <c r="AJ813" s="5"/>
      <c r="AK813" s="5"/>
      <c r="AL813" s="5"/>
      <c r="AM813" s="5"/>
      <c r="AN813" s="5"/>
      <c r="AO813" s="5"/>
      <c r="AP813" s="5"/>
      <c r="AQ813" s="5"/>
      <c r="AR813" s="5"/>
      <c r="AS813" s="5"/>
      <c r="AT813" s="5"/>
      <c r="AU813" s="5"/>
    </row>
    <row r="814" ht="15.7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c r="AB814" s="5"/>
      <c r="AC814" s="5"/>
      <c r="AD814" s="5"/>
      <c r="AE814" s="5"/>
      <c r="AF814" s="5"/>
      <c r="AG814" s="5"/>
      <c r="AH814" s="5"/>
      <c r="AI814" s="5"/>
      <c r="AJ814" s="5"/>
      <c r="AK814" s="5"/>
      <c r="AL814" s="5"/>
      <c r="AM814" s="5"/>
      <c r="AN814" s="5"/>
      <c r="AO814" s="5"/>
      <c r="AP814" s="5"/>
      <c r="AQ814" s="5"/>
      <c r="AR814" s="5"/>
      <c r="AS814" s="5"/>
      <c r="AT814" s="5"/>
      <c r="AU814" s="5"/>
    </row>
    <row r="815" ht="15.7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c r="AB815" s="5"/>
      <c r="AC815" s="5"/>
      <c r="AD815" s="5"/>
      <c r="AE815" s="5"/>
      <c r="AF815" s="5"/>
      <c r="AG815" s="5"/>
      <c r="AH815" s="5"/>
      <c r="AI815" s="5"/>
      <c r="AJ815" s="5"/>
      <c r="AK815" s="5"/>
      <c r="AL815" s="5"/>
      <c r="AM815" s="5"/>
      <c r="AN815" s="5"/>
      <c r="AO815" s="5"/>
      <c r="AP815" s="5"/>
      <c r="AQ815" s="5"/>
      <c r="AR815" s="5"/>
      <c r="AS815" s="5"/>
      <c r="AT815" s="5"/>
      <c r="AU815" s="5"/>
    </row>
    <row r="816" ht="15.7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c r="AC816" s="5"/>
      <c r="AD816" s="5"/>
      <c r="AE816" s="5"/>
      <c r="AF816" s="5"/>
      <c r="AG816" s="5"/>
      <c r="AH816" s="5"/>
      <c r="AI816" s="5"/>
      <c r="AJ816" s="5"/>
      <c r="AK816" s="5"/>
      <c r="AL816" s="5"/>
      <c r="AM816" s="5"/>
      <c r="AN816" s="5"/>
      <c r="AO816" s="5"/>
      <c r="AP816" s="5"/>
      <c r="AQ816" s="5"/>
      <c r="AR816" s="5"/>
      <c r="AS816" s="5"/>
      <c r="AT816" s="5"/>
      <c r="AU816" s="5"/>
    </row>
    <row r="817" ht="15.7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c r="AB817" s="5"/>
      <c r="AC817" s="5"/>
      <c r="AD817" s="5"/>
      <c r="AE817" s="5"/>
      <c r="AF817" s="5"/>
      <c r="AG817" s="5"/>
      <c r="AH817" s="5"/>
      <c r="AI817" s="5"/>
      <c r="AJ817" s="5"/>
      <c r="AK817" s="5"/>
      <c r="AL817" s="5"/>
      <c r="AM817" s="5"/>
      <c r="AN817" s="5"/>
      <c r="AO817" s="5"/>
      <c r="AP817" s="5"/>
      <c r="AQ817" s="5"/>
      <c r="AR817" s="5"/>
      <c r="AS817" s="5"/>
      <c r="AT817" s="5"/>
      <c r="AU817" s="5"/>
    </row>
    <row r="818" ht="15.7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c r="AB818" s="5"/>
      <c r="AC818" s="5"/>
      <c r="AD818" s="5"/>
      <c r="AE818" s="5"/>
      <c r="AF818" s="5"/>
      <c r="AG818" s="5"/>
      <c r="AH818" s="5"/>
      <c r="AI818" s="5"/>
      <c r="AJ818" s="5"/>
      <c r="AK818" s="5"/>
      <c r="AL818" s="5"/>
      <c r="AM818" s="5"/>
      <c r="AN818" s="5"/>
      <c r="AO818" s="5"/>
      <c r="AP818" s="5"/>
      <c r="AQ818" s="5"/>
      <c r="AR818" s="5"/>
      <c r="AS818" s="5"/>
      <c r="AT818" s="5"/>
      <c r="AU818" s="5"/>
    </row>
    <row r="819" ht="15.7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c r="AB819" s="5"/>
      <c r="AC819" s="5"/>
      <c r="AD819" s="5"/>
      <c r="AE819" s="5"/>
      <c r="AF819" s="5"/>
      <c r="AG819" s="5"/>
      <c r="AH819" s="5"/>
      <c r="AI819" s="5"/>
      <c r="AJ819" s="5"/>
      <c r="AK819" s="5"/>
      <c r="AL819" s="5"/>
      <c r="AM819" s="5"/>
      <c r="AN819" s="5"/>
      <c r="AO819" s="5"/>
      <c r="AP819" s="5"/>
      <c r="AQ819" s="5"/>
      <c r="AR819" s="5"/>
      <c r="AS819" s="5"/>
      <c r="AT819" s="5"/>
      <c r="AU819" s="5"/>
    </row>
    <row r="820" ht="15.7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c r="AB820" s="5"/>
      <c r="AC820" s="5"/>
      <c r="AD820" s="5"/>
      <c r="AE820" s="5"/>
      <c r="AF820" s="5"/>
      <c r="AG820" s="5"/>
      <c r="AH820" s="5"/>
      <c r="AI820" s="5"/>
      <c r="AJ820" s="5"/>
      <c r="AK820" s="5"/>
      <c r="AL820" s="5"/>
      <c r="AM820" s="5"/>
      <c r="AN820" s="5"/>
      <c r="AO820" s="5"/>
      <c r="AP820" s="5"/>
      <c r="AQ820" s="5"/>
      <c r="AR820" s="5"/>
      <c r="AS820" s="5"/>
      <c r="AT820" s="5"/>
      <c r="AU820" s="5"/>
    </row>
    <row r="821" ht="15.7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c r="AB821" s="5"/>
      <c r="AC821" s="5"/>
      <c r="AD821" s="5"/>
      <c r="AE821" s="5"/>
      <c r="AF821" s="5"/>
      <c r="AG821" s="5"/>
      <c r="AH821" s="5"/>
      <c r="AI821" s="5"/>
      <c r="AJ821" s="5"/>
      <c r="AK821" s="5"/>
      <c r="AL821" s="5"/>
      <c r="AM821" s="5"/>
      <c r="AN821" s="5"/>
      <c r="AO821" s="5"/>
      <c r="AP821" s="5"/>
      <c r="AQ821" s="5"/>
      <c r="AR821" s="5"/>
      <c r="AS821" s="5"/>
      <c r="AT821" s="5"/>
      <c r="AU821" s="5"/>
    </row>
    <row r="822" ht="15.7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c r="AC822" s="5"/>
      <c r="AD822" s="5"/>
      <c r="AE822" s="5"/>
      <c r="AF822" s="5"/>
      <c r="AG822" s="5"/>
      <c r="AH822" s="5"/>
      <c r="AI822" s="5"/>
      <c r="AJ822" s="5"/>
      <c r="AK822" s="5"/>
      <c r="AL822" s="5"/>
      <c r="AM822" s="5"/>
      <c r="AN822" s="5"/>
      <c r="AO822" s="5"/>
      <c r="AP822" s="5"/>
      <c r="AQ822" s="5"/>
      <c r="AR822" s="5"/>
      <c r="AS822" s="5"/>
      <c r="AT822" s="5"/>
      <c r="AU822" s="5"/>
    </row>
    <row r="823" ht="15.7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c r="AC823" s="5"/>
      <c r="AD823" s="5"/>
      <c r="AE823" s="5"/>
      <c r="AF823" s="5"/>
      <c r="AG823" s="5"/>
      <c r="AH823" s="5"/>
      <c r="AI823" s="5"/>
      <c r="AJ823" s="5"/>
      <c r="AK823" s="5"/>
      <c r="AL823" s="5"/>
      <c r="AM823" s="5"/>
      <c r="AN823" s="5"/>
      <c r="AO823" s="5"/>
      <c r="AP823" s="5"/>
      <c r="AQ823" s="5"/>
      <c r="AR823" s="5"/>
      <c r="AS823" s="5"/>
      <c r="AT823" s="5"/>
      <c r="AU823" s="5"/>
    </row>
    <row r="824" ht="15.7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c r="AB824" s="5"/>
      <c r="AC824" s="5"/>
      <c r="AD824" s="5"/>
      <c r="AE824" s="5"/>
      <c r="AF824" s="5"/>
      <c r="AG824" s="5"/>
      <c r="AH824" s="5"/>
      <c r="AI824" s="5"/>
      <c r="AJ824" s="5"/>
      <c r="AK824" s="5"/>
      <c r="AL824" s="5"/>
      <c r="AM824" s="5"/>
      <c r="AN824" s="5"/>
      <c r="AO824" s="5"/>
      <c r="AP824" s="5"/>
      <c r="AQ824" s="5"/>
      <c r="AR824" s="5"/>
      <c r="AS824" s="5"/>
      <c r="AT824" s="5"/>
      <c r="AU824" s="5"/>
    </row>
    <row r="825" ht="15.7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c r="AB825" s="5"/>
      <c r="AC825" s="5"/>
      <c r="AD825" s="5"/>
      <c r="AE825" s="5"/>
      <c r="AF825" s="5"/>
      <c r="AG825" s="5"/>
      <c r="AH825" s="5"/>
      <c r="AI825" s="5"/>
      <c r="AJ825" s="5"/>
      <c r="AK825" s="5"/>
      <c r="AL825" s="5"/>
      <c r="AM825" s="5"/>
      <c r="AN825" s="5"/>
      <c r="AO825" s="5"/>
      <c r="AP825" s="5"/>
      <c r="AQ825" s="5"/>
      <c r="AR825" s="5"/>
      <c r="AS825" s="5"/>
      <c r="AT825" s="5"/>
      <c r="AU825" s="5"/>
    </row>
    <row r="826" ht="15.7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c r="AC826" s="5"/>
      <c r="AD826" s="5"/>
      <c r="AE826" s="5"/>
      <c r="AF826" s="5"/>
      <c r="AG826" s="5"/>
      <c r="AH826" s="5"/>
      <c r="AI826" s="5"/>
      <c r="AJ826" s="5"/>
      <c r="AK826" s="5"/>
      <c r="AL826" s="5"/>
      <c r="AM826" s="5"/>
      <c r="AN826" s="5"/>
      <c r="AO826" s="5"/>
      <c r="AP826" s="5"/>
      <c r="AQ826" s="5"/>
      <c r="AR826" s="5"/>
      <c r="AS826" s="5"/>
      <c r="AT826" s="5"/>
      <c r="AU826" s="5"/>
    </row>
    <row r="827" ht="15.7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c r="AB827" s="5"/>
      <c r="AC827" s="5"/>
      <c r="AD827" s="5"/>
      <c r="AE827" s="5"/>
      <c r="AF827" s="5"/>
      <c r="AG827" s="5"/>
      <c r="AH827" s="5"/>
      <c r="AI827" s="5"/>
      <c r="AJ827" s="5"/>
      <c r="AK827" s="5"/>
      <c r="AL827" s="5"/>
      <c r="AM827" s="5"/>
      <c r="AN827" s="5"/>
      <c r="AO827" s="5"/>
      <c r="AP827" s="5"/>
      <c r="AQ827" s="5"/>
      <c r="AR827" s="5"/>
      <c r="AS827" s="5"/>
      <c r="AT827" s="5"/>
      <c r="AU827" s="5"/>
    </row>
    <row r="828" ht="15.7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c r="AC828" s="5"/>
      <c r="AD828" s="5"/>
      <c r="AE828" s="5"/>
      <c r="AF828" s="5"/>
      <c r="AG828" s="5"/>
      <c r="AH828" s="5"/>
      <c r="AI828" s="5"/>
      <c r="AJ828" s="5"/>
      <c r="AK828" s="5"/>
      <c r="AL828" s="5"/>
      <c r="AM828" s="5"/>
      <c r="AN828" s="5"/>
      <c r="AO828" s="5"/>
      <c r="AP828" s="5"/>
      <c r="AQ828" s="5"/>
      <c r="AR828" s="5"/>
      <c r="AS828" s="5"/>
      <c r="AT828" s="5"/>
      <c r="AU828" s="5"/>
    </row>
    <row r="829" ht="15.7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c r="AB829" s="5"/>
      <c r="AC829" s="5"/>
      <c r="AD829" s="5"/>
      <c r="AE829" s="5"/>
      <c r="AF829" s="5"/>
      <c r="AG829" s="5"/>
      <c r="AH829" s="5"/>
      <c r="AI829" s="5"/>
      <c r="AJ829" s="5"/>
      <c r="AK829" s="5"/>
      <c r="AL829" s="5"/>
      <c r="AM829" s="5"/>
      <c r="AN829" s="5"/>
      <c r="AO829" s="5"/>
      <c r="AP829" s="5"/>
      <c r="AQ829" s="5"/>
      <c r="AR829" s="5"/>
      <c r="AS829" s="5"/>
      <c r="AT829" s="5"/>
      <c r="AU829" s="5"/>
    </row>
    <row r="830" ht="15.7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c r="AB830" s="5"/>
      <c r="AC830" s="5"/>
      <c r="AD830" s="5"/>
      <c r="AE830" s="5"/>
      <c r="AF830" s="5"/>
      <c r="AG830" s="5"/>
      <c r="AH830" s="5"/>
      <c r="AI830" s="5"/>
      <c r="AJ830" s="5"/>
      <c r="AK830" s="5"/>
      <c r="AL830" s="5"/>
      <c r="AM830" s="5"/>
      <c r="AN830" s="5"/>
      <c r="AO830" s="5"/>
      <c r="AP830" s="5"/>
      <c r="AQ830" s="5"/>
      <c r="AR830" s="5"/>
      <c r="AS830" s="5"/>
      <c r="AT830" s="5"/>
      <c r="AU830" s="5"/>
    </row>
    <row r="831" ht="15.7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c r="AB831" s="5"/>
      <c r="AC831" s="5"/>
      <c r="AD831" s="5"/>
      <c r="AE831" s="5"/>
      <c r="AF831" s="5"/>
      <c r="AG831" s="5"/>
      <c r="AH831" s="5"/>
      <c r="AI831" s="5"/>
      <c r="AJ831" s="5"/>
      <c r="AK831" s="5"/>
      <c r="AL831" s="5"/>
      <c r="AM831" s="5"/>
      <c r="AN831" s="5"/>
      <c r="AO831" s="5"/>
      <c r="AP831" s="5"/>
      <c r="AQ831" s="5"/>
      <c r="AR831" s="5"/>
      <c r="AS831" s="5"/>
      <c r="AT831" s="5"/>
      <c r="AU831" s="5"/>
    </row>
    <row r="832" ht="15.7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c r="AB832" s="5"/>
      <c r="AC832" s="5"/>
      <c r="AD832" s="5"/>
      <c r="AE832" s="5"/>
      <c r="AF832" s="5"/>
      <c r="AG832" s="5"/>
      <c r="AH832" s="5"/>
      <c r="AI832" s="5"/>
      <c r="AJ832" s="5"/>
      <c r="AK832" s="5"/>
      <c r="AL832" s="5"/>
      <c r="AM832" s="5"/>
      <c r="AN832" s="5"/>
      <c r="AO832" s="5"/>
      <c r="AP832" s="5"/>
      <c r="AQ832" s="5"/>
      <c r="AR832" s="5"/>
      <c r="AS832" s="5"/>
      <c r="AT832" s="5"/>
      <c r="AU832" s="5"/>
    </row>
    <row r="833" ht="15.7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c r="AC833" s="5"/>
      <c r="AD833" s="5"/>
      <c r="AE833" s="5"/>
      <c r="AF833" s="5"/>
      <c r="AG833" s="5"/>
      <c r="AH833" s="5"/>
      <c r="AI833" s="5"/>
      <c r="AJ833" s="5"/>
      <c r="AK833" s="5"/>
      <c r="AL833" s="5"/>
      <c r="AM833" s="5"/>
      <c r="AN833" s="5"/>
      <c r="AO833" s="5"/>
      <c r="AP833" s="5"/>
      <c r="AQ833" s="5"/>
      <c r="AR833" s="5"/>
      <c r="AS833" s="5"/>
      <c r="AT833" s="5"/>
      <c r="AU833" s="5"/>
    </row>
    <row r="834" ht="15.7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c r="AC834" s="5"/>
      <c r="AD834" s="5"/>
      <c r="AE834" s="5"/>
      <c r="AF834" s="5"/>
      <c r="AG834" s="5"/>
      <c r="AH834" s="5"/>
      <c r="AI834" s="5"/>
      <c r="AJ834" s="5"/>
      <c r="AK834" s="5"/>
      <c r="AL834" s="5"/>
      <c r="AM834" s="5"/>
      <c r="AN834" s="5"/>
      <c r="AO834" s="5"/>
      <c r="AP834" s="5"/>
      <c r="AQ834" s="5"/>
      <c r="AR834" s="5"/>
      <c r="AS834" s="5"/>
      <c r="AT834" s="5"/>
      <c r="AU834" s="5"/>
    </row>
    <row r="835" ht="15.7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c r="AB835" s="5"/>
      <c r="AC835" s="5"/>
      <c r="AD835" s="5"/>
      <c r="AE835" s="5"/>
      <c r="AF835" s="5"/>
      <c r="AG835" s="5"/>
      <c r="AH835" s="5"/>
      <c r="AI835" s="5"/>
      <c r="AJ835" s="5"/>
      <c r="AK835" s="5"/>
      <c r="AL835" s="5"/>
      <c r="AM835" s="5"/>
      <c r="AN835" s="5"/>
      <c r="AO835" s="5"/>
      <c r="AP835" s="5"/>
      <c r="AQ835" s="5"/>
      <c r="AR835" s="5"/>
      <c r="AS835" s="5"/>
      <c r="AT835" s="5"/>
      <c r="AU835" s="5"/>
    </row>
    <row r="836" ht="15.7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c r="AB836" s="5"/>
      <c r="AC836" s="5"/>
      <c r="AD836" s="5"/>
      <c r="AE836" s="5"/>
      <c r="AF836" s="5"/>
      <c r="AG836" s="5"/>
      <c r="AH836" s="5"/>
      <c r="AI836" s="5"/>
      <c r="AJ836" s="5"/>
      <c r="AK836" s="5"/>
      <c r="AL836" s="5"/>
      <c r="AM836" s="5"/>
      <c r="AN836" s="5"/>
      <c r="AO836" s="5"/>
      <c r="AP836" s="5"/>
      <c r="AQ836" s="5"/>
      <c r="AR836" s="5"/>
      <c r="AS836" s="5"/>
      <c r="AT836" s="5"/>
      <c r="AU836" s="5"/>
    </row>
    <row r="837" ht="15.7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c r="AB837" s="5"/>
      <c r="AC837" s="5"/>
      <c r="AD837" s="5"/>
      <c r="AE837" s="5"/>
      <c r="AF837" s="5"/>
      <c r="AG837" s="5"/>
      <c r="AH837" s="5"/>
      <c r="AI837" s="5"/>
      <c r="AJ837" s="5"/>
      <c r="AK837" s="5"/>
      <c r="AL837" s="5"/>
      <c r="AM837" s="5"/>
      <c r="AN837" s="5"/>
      <c r="AO837" s="5"/>
      <c r="AP837" s="5"/>
      <c r="AQ837" s="5"/>
      <c r="AR837" s="5"/>
      <c r="AS837" s="5"/>
      <c r="AT837" s="5"/>
      <c r="AU837" s="5"/>
    </row>
    <row r="838" ht="15.7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c r="AB838" s="5"/>
      <c r="AC838" s="5"/>
      <c r="AD838" s="5"/>
      <c r="AE838" s="5"/>
      <c r="AF838" s="5"/>
      <c r="AG838" s="5"/>
      <c r="AH838" s="5"/>
      <c r="AI838" s="5"/>
      <c r="AJ838" s="5"/>
      <c r="AK838" s="5"/>
      <c r="AL838" s="5"/>
      <c r="AM838" s="5"/>
      <c r="AN838" s="5"/>
      <c r="AO838" s="5"/>
      <c r="AP838" s="5"/>
      <c r="AQ838" s="5"/>
      <c r="AR838" s="5"/>
      <c r="AS838" s="5"/>
      <c r="AT838" s="5"/>
      <c r="AU838" s="5"/>
    </row>
    <row r="839" ht="15.7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c r="AB839" s="5"/>
      <c r="AC839" s="5"/>
      <c r="AD839" s="5"/>
      <c r="AE839" s="5"/>
      <c r="AF839" s="5"/>
      <c r="AG839" s="5"/>
      <c r="AH839" s="5"/>
      <c r="AI839" s="5"/>
      <c r="AJ839" s="5"/>
      <c r="AK839" s="5"/>
      <c r="AL839" s="5"/>
      <c r="AM839" s="5"/>
      <c r="AN839" s="5"/>
      <c r="AO839" s="5"/>
      <c r="AP839" s="5"/>
      <c r="AQ839" s="5"/>
      <c r="AR839" s="5"/>
      <c r="AS839" s="5"/>
      <c r="AT839" s="5"/>
      <c r="AU839" s="5"/>
    </row>
    <row r="840" ht="15.7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c r="AC840" s="5"/>
      <c r="AD840" s="5"/>
      <c r="AE840" s="5"/>
      <c r="AF840" s="5"/>
      <c r="AG840" s="5"/>
      <c r="AH840" s="5"/>
      <c r="AI840" s="5"/>
      <c r="AJ840" s="5"/>
      <c r="AK840" s="5"/>
      <c r="AL840" s="5"/>
      <c r="AM840" s="5"/>
      <c r="AN840" s="5"/>
      <c r="AO840" s="5"/>
      <c r="AP840" s="5"/>
      <c r="AQ840" s="5"/>
      <c r="AR840" s="5"/>
      <c r="AS840" s="5"/>
      <c r="AT840" s="5"/>
      <c r="AU840" s="5"/>
    </row>
    <row r="841" ht="15.7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c r="AB841" s="5"/>
      <c r="AC841" s="5"/>
      <c r="AD841" s="5"/>
      <c r="AE841" s="5"/>
      <c r="AF841" s="5"/>
      <c r="AG841" s="5"/>
      <c r="AH841" s="5"/>
      <c r="AI841" s="5"/>
      <c r="AJ841" s="5"/>
      <c r="AK841" s="5"/>
      <c r="AL841" s="5"/>
      <c r="AM841" s="5"/>
      <c r="AN841" s="5"/>
      <c r="AO841" s="5"/>
      <c r="AP841" s="5"/>
      <c r="AQ841" s="5"/>
      <c r="AR841" s="5"/>
      <c r="AS841" s="5"/>
      <c r="AT841" s="5"/>
      <c r="AU841" s="5"/>
    </row>
    <row r="842" ht="15.7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c r="AB842" s="5"/>
      <c r="AC842" s="5"/>
      <c r="AD842" s="5"/>
      <c r="AE842" s="5"/>
      <c r="AF842" s="5"/>
      <c r="AG842" s="5"/>
      <c r="AH842" s="5"/>
      <c r="AI842" s="5"/>
      <c r="AJ842" s="5"/>
      <c r="AK842" s="5"/>
      <c r="AL842" s="5"/>
      <c r="AM842" s="5"/>
      <c r="AN842" s="5"/>
      <c r="AO842" s="5"/>
      <c r="AP842" s="5"/>
      <c r="AQ842" s="5"/>
      <c r="AR842" s="5"/>
      <c r="AS842" s="5"/>
      <c r="AT842" s="5"/>
      <c r="AU842" s="5"/>
    </row>
    <row r="843" ht="15.7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c r="AB843" s="5"/>
      <c r="AC843" s="5"/>
      <c r="AD843" s="5"/>
      <c r="AE843" s="5"/>
      <c r="AF843" s="5"/>
      <c r="AG843" s="5"/>
      <c r="AH843" s="5"/>
      <c r="AI843" s="5"/>
      <c r="AJ843" s="5"/>
      <c r="AK843" s="5"/>
      <c r="AL843" s="5"/>
      <c r="AM843" s="5"/>
      <c r="AN843" s="5"/>
      <c r="AO843" s="5"/>
      <c r="AP843" s="5"/>
      <c r="AQ843" s="5"/>
      <c r="AR843" s="5"/>
      <c r="AS843" s="5"/>
      <c r="AT843" s="5"/>
      <c r="AU843" s="5"/>
    </row>
    <row r="844" ht="15.7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c r="AC844" s="5"/>
      <c r="AD844" s="5"/>
      <c r="AE844" s="5"/>
      <c r="AF844" s="5"/>
      <c r="AG844" s="5"/>
      <c r="AH844" s="5"/>
      <c r="AI844" s="5"/>
      <c r="AJ844" s="5"/>
      <c r="AK844" s="5"/>
      <c r="AL844" s="5"/>
      <c r="AM844" s="5"/>
      <c r="AN844" s="5"/>
      <c r="AO844" s="5"/>
      <c r="AP844" s="5"/>
      <c r="AQ844" s="5"/>
      <c r="AR844" s="5"/>
      <c r="AS844" s="5"/>
      <c r="AT844" s="5"/>
      <c r="AU844" s="5"/>
    </row>
    <row r="845" ht="15.7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c r="AC845" s="5"/>
      <c r="AD845" s="5"/>
      <c r="AE845" s="5"/>
      <c r="AF845" s="5"/>
      <c r="AG845" s="5"/>
      <c r="AH845" s="5"/>
      <c r="AI845" s="5"/>
      <c r="AJ845" s="5"/>
      <c r="AK845" s="5"/>
      <c r="AL845" s="5"/>
      <c r="AM845" s="5"/>
      <c r="AN845" s="5"/>
      <c r="AO845" s="5"/>
      <c r="AP845" s="5"/>
      <c r="AQ845" s="5"/>
      <c r="AR845" s="5"/>
      <c r="AS845" s="5"/>
      <c r="AT845" s="5"/>
      <c r="AU845" s="5"/>
    </row>
    <row r="846" ht="15.7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c r="AC846" s="5"/>
      <c r="AD846" s="5"/>
      <c r="AE846" s="5"/>
      <c r="AF846" s="5"/>
      <c r="AG846" s="5"/>
      <c r="AH846" s="5"/>
      <c r="AI846" s="5"/>
      <c r="AJ846" s="5"/>
      <c r="AK846" s="5"/>
      <c r="AL846" s="5"/>
      <c r="AM846" s="5"/>
      <c r="AN846" s="5"/>
      <c r="AO846" s="5"/>
      <c r="AP846" s="5"/>
      <c r="AQ846" s="5"/>
      <c r="AR846" s="5"/>
      <c r="AS846" s="5"/>
      <c r="AT846" s="5"/>
      <c r="AU846" s="5"/>
    </row>
    <row r="847" ht="15.7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c r="AB847" s="5"/>
      <c r="AC847" s="5"/>
      <c r="AD847" s="5"/>
      <c r="AE847" s="5"/>
      <c r="AF847" s="5"/>
      <c r="AG847" s="5"/>
      <c r="AH847" s="5"/>
      <c r="AI847" s="5"/>
      <c r="AJ847" s="5"/>
      <c r="AK847" s="5"/>
      <c r="AL847" s="5"/>
      <c r="AM847" s="5"/>
      <c r="AN847" s="5"/>
      <c r="AO847" s="5"/>
      <c r="AP847" s="5"/>
      <c r="AQ847" s="5"/>
      <c r="AR847" s="5"/>
      <c r="AS847" s="5"/>
      <c r="AT847" s="5"/>
      <c r="AU847" s="5"/>
    </row>
    <row r="848" ht="15.7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c r="AB848" s="5"/>
      <c r="AC848" s="5"/>
      <c r="AD848" s="5"/>
      <c r="AE848" s="5"/>
      <c r="AF848" s="5"/>
      <c r="AG848" s="5"/>
      <c r="AH848" s="5"/>
      <c r="AI848" s="5"/>
      <c r="AJ848" s="5"/>
      <c r="AK848" s="5"/>
      <c r="AL848" s="5"/>
      <c r="AM848" s="5"/>
      <c r="AN848" s="5"/>
      <c r="AO848" s="5"/>
      <c r="AP848" s="5"/>
      <c r="AQ848" s="5"/>
      <c r="AR848" s="5"/>
      <c r="AS848" s="5"/>
      <c r="AT848" s="5"/>
      <c r="AU848" s="5"/>
    </row>
    <row r="849" ht="15.7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c r="AB849" s="5"/>
      <c r="AC849" s="5"/>
      <c r="AD849" s="5"/>
      <c r="AE849" s="5"/>
      <c r="AF849" s="5"/>
      <c r="AG849" s="5"/>
      <c r="AH849" s="5"/>
      <c r="AI849" s="5"/>
      <c r="AJ849" s="5"/>
      <c r="AK849" s="5"/>
      <c r="AL849" s="5"/>
      <c r="AM849" s="5"/>
      <c r="AN849" s="5"/>
      <c r="AO849" s="5"/>
      <c r="AP849" s="5"/>
      <c r="AQ849" s="5"/>
      <c r="AR849" s="5"/>
      <c r="AS849" s="5"/>
      <c r="AT849" s="5"/>
      <c r="AU849" s="5"/>
    </row>
    <row r="850" ht="15.7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c r="AB850" s="5"/>
      <c r="AC850" s="5"/>
      <c r="AD850" s="5"/>
      <c r="AE850" s="5"/>
      <c r="AF850" s="5"/>
      <c r="AG850" s="5"/>
      <c r="AH850" s="5"/>
      <c r="AI850" s="5"/>
      <c r="AJ850" s="5"/>
      <c r="AK850" s="5"/>
      <c r="AL850" s="5"/>
      <c r="AM850" s="5"/>
      <c r="AN850" s="5"/>
      <c r="AO850" s="5"/>
      <c r="AP850" s="5"/>
      <c r="AQ850" s="5"/>
      <c r="AR850" s="5"/>
      <c r="AS850" s="5"/>
      <c r="AT850" s="5"/>
      <c r="AU850" s="5"/>
    </row>
    <row r="851" ht="15.7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c r="AC851" s="5"/>
      <c r="AD851" s="5"/>
      <c r="AE851" s="5"/>
      <c r="AF851" s="5"/>
      <c r="AG851" s="5"/>
      <c r="AH851" s="5"/>
      <c r="AI851" s="5"/>
      <c r="AJ851" s="5"/>
      <c r="AK851" s="5"/>
      <c r="AL851" s="5"/>
      <c r="AM851" s="5"/>
      <c r="AN851" s="5"/>
      <c r="AO851" s="5"/>
      <c r="AP851" s="5"/>
      <c r="AQ851" s="5"/>
      <c r="AR851" s="5"/>
      <c r="AS851" s="5"/>
      <c r="AT851" s="5"/>
      <c r="AU851" s="5"/>
    </row>
    <row r="852" ht="15.7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c r="AC852" s="5"/>
      <c r="AD852" s="5"/>
      <c r="AE852" s="5"/>
      <c r="AF852" s="5"/>
      <c r="AG852" s="5"/>
      <c r="AH852" s="5"/>
      <c r="AI852" s="5"/>
      <c r="AJ852" s="5"/>
      <c r="AK852" s="5"/>
      <c r="AL852" s="5"/>
      <c r="AM852" s="5"/>
      <c r="AN852" s="5"/>
      <c r="AO852" s="5"/>
      <c r="AP852" s="5"/>
      <c r="AQ852" s="5"/>
      <c r="AR852" s="5"/>
      <c r="AS852" s="5"/>
      <c r="AT852" s="5"/>
      <c r="AU852" s="5"/>
    </row>
    <row r="853" ht="15.7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c r="AB853" s="5"/>
      <c r="AC853" s="5"/>
      <c r="AD853" s="5"/>
      <c r="AE853" s="5"/>
      <c r="AF853" s="5"/>
      <c r="AG853" s="5"/>
      <c r="AH853" s="5"/>
      <c r="AI853" s="5"/>
      <c r="AJ853" s="5"/>
      <c r="AK853" s="5"/>
      <c r="AL853" s="5"/>
      <c r="AM853" s="5"/>
      <c r="AN853" s="5"/>
      <c r="AO853" s="5"/>
      <c r="AP853" s="5"/>
      <c r="AQ853" s="5"/>
      <c r="AR853" s="5"/>
      <c r="AS853" s="5"/>
      <c r="AT853" s="5"/>
      <c r="AU853" s="5"/>
    </row>
    <row r="854" ht="15.7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c r="AB854" s="5"/>
      <c r="AC854" s="5"/>
      <c r="AD854" s="5"/>
      <c r="AE854" s="5"/>
      <c r="AF854" s="5"/>
      <c r="AG854" s="5"/>
      <c r="AH854" s="5"/>
      <c r="AI854" s="5"/>
      <c r="AJ854" s="5"/>
      <c r="AK854" s="5"/>
      <c r="AL854" s="5"/>
      <c r="AM854" s="5"/>
      <c r="AN854" s="5"/>
      <c r="AO854" s="5"/>
      <c r="AP854" s="5"/>
      <c r="AQ854" s="5"/>
      <c r="AR854" s="5"/>
      <c r="AS854" s="5"/>
      <c r="AT854" s="5"/>
      <c r="AU854" s="5"/>
    </row>
    <row r="855" ht="15.7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c r="AB855" s="5"/>
      <c r="AC855" s="5"/>
      <c r="AD855" s="5"/>
      <c r="AE855" s="5"/>
      <c r="AF855" s="5"/>
      <c r="AG855" s="5"/>
      <c r="AH855" s="5"/>
      <c r="AI855" s="5"/>
      <c r="AJ855" s="5"/>
      <c r="AK855" s="5"/>
      <c r="AL855" s="5"/>
      <c r="AM855" s="5"/>
      <c r="AN855" s="5"/>
      <c r="AO855" s="5"/>
      <c r="AP855" s="5"/>
      <c r="AQ855" s="5"/>
      <c r="AR855" s="5"/>
      <c r="AS855" s="5"/>
      <c r="AT855" s="5"/>
      <c r="AU855" s="5"/>
    </row>
    <row r="856" ht="15.7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c r="AC856" s="5"/>
      <c r="AD856" s="5"/>
      <c r="AE856" s="5"/>
      <c r="AF856" s="5"/>
      <c r="AG856" s="5"/>
      <c r="AH856" s="5"/>
      <c r="AI856" s="5"/>
      <c r="AJ856" s="5"/>
      <c r="AK856" s="5"/>
      <c r="AL856" s="5"/>
      <c r="AM856" s="5"/>
      <c r="AN856" s="5"/>
      <c r="AO856" s="5"/>
      <c r="AP856" s="5"/>
      <c r="AQ856" s="5"/>
      <c r="AR856" s="5"/>
      <c r="AS856" s="5"/>
      <c r="AT856" s="5"/>
      <c r="AU856" s="5"/>
    </row>
    <row r="857" ht="15.7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c r="AB857" s="5"/>
      <c r="AC857" s="5"/>
      <c r="AD857" s="5"/>
      <c r="AE857" s="5"/>
      <c r="AF857" s="5"/>
      <c r="AG857" s="5"/>
      <c r="AH857" s="5"/>
      <c r="AI857" s="5"/>
      <c r="AJ857" s="5"/>
      <c r="AK857" s="5"/>
      <c r="AL857" s="5"/>
      <c r="AM857" s="5"/>
      <c r="AN857" s="5"/>
      <c r="AO857" s="5"/>
      <c r="AP857" s="5"/>
      <c r="AQ857" s="5"/>
      <c r="AR857" s="5"/>
      <c r="AS857" s="5"/>
      <c r="AT857" s="5"/>
      <c r="AU857" s="5"/>
    </row>
    <row r="858" ht="15.7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c r="AC858" s="5"/>
      <c r="AD858" s="5"/>
      <c r="AE858" s="5"/>
      <c r="AF858" s="5"/>
      <c r="AG858" s="5"/>
      <c r="AH858" s="5"/>
      <c r="AI858" s="5"/>
      <c r="AJ858" s="5"/>
      <c r="AK858" s="5"/>
      <c r="AL858" s="5"/>
      <c r="AM858" s="5"/>
      <c r="AN858" s="5"/>
      <c r="AO858" s="5"/>
      <c r="AP858" s="5"/>
      <c r="AQ858" s="5"/>
      <c r="AR858" s="5"/>
      <c r="AS858" s="5"/>
      <c r="AT858" s="5"/>
      <c r="AU858" s="5"/>
    </row>
    <row r="859" ht="15.7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c r="AB859" s="5"/>
      <c r="AC859" s="5"/>
      <c r="AD859" s="5"/>
      <c r="AE859" s="5"/>
      <c r="AF859" s="5"/>
      <c r="AG859" s="5"/>
      <c r="AH859" s="5"/>
      <c r="AI859" s="5"/>
      <c r="AJ859" s="5"/>
      <c r="AK859" s="5"/>
      <c r="AL859" s="5"/>
      <c r="AM859" s="5"/>
      <c r="AN859" s="5"/>
      <c r="AO859" s="5"/>
      <c r="AP859" s="5"/>
      <c r="AQ859" s="5"/>
      <c r="AR859" s="5"/>
      <c r="AS859" s="5"/>
      <c r="AT859" s="5"/>
      <c r="AU859" s="5"/>
    </row>
    <row r="860" ht="15.7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c r="AB860" s="5"/>
      <c r="AC860" s="5"/>
      <c r="AD860" s="5"/>
      <c r="AE860" s="5"/>
      <c r="AF860" s="5"/>
      <c r="AG860" s="5"/>
      <c r="AH860" s="5"/>
      <c r="AI860" s="5"/>
      <c r="AJ860" s="5"/>
      <c r="AK860" s="5"/>
      <c r="AL860" s="5"/>
      <c r="AM860" s="5"/>
      <c r="AN860" s="5"/>
      <c r="AO860" s="5"/>
      <c r="AP860" s="5"/>
      <c r="AQ860" s="5"/>
      <c r="AR860" s="5"/>
      <c r="AS860" s="5"/>
      <c r="AT860" s="5"/>
      <c r="AU860" s="5"/>
    </row>
    <row r="861" ht="15.7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c r="AB861" s="5"/>
      <c r="AC861" s="5"/>
      <c r="AD861" s="5"/>
      <c r="AE861" s="5"/>
      <c r="AF861" s="5"/>
      <c r="AG861" s="5"/>
      <c r="AH861" s="5"/>
      <c r="AI861" s="5"/>
      <c r="AJ861" s="5"/>
      <c r="AK861" s="5"/>
      <c r="AL861" s="5"/>
      <c r="AM861" s="5"/>
      <c r="AN861" s="5"/>
      <c r="AO861" s="5"/>
      <c r="AP861" s="5"/>
      <c r="AQ861" s="5"/>
      <c r="AR861" s="5"/>
      <c r="AS861" s="5"/>
      <c r="AT861" s="5"/>
      <c r="AU861" s="5"/>
    </row>
    <row r="862" ht="15.7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c r="AC862" s="5"/>
      <c r="AD862" s="5"/>
      <c r="AE862" s="5"/>
      <c r="AF862" s="5"/>
      <c r="AG862" s="5"/>
      <c r="AH862" s="5"/>
      <c r="AI862" s="5"/>
      <c r="AJ862" s="5"/>
      <c r="AK862" s="5"/>
      <c r="AL862" s="5"/>
      <c r="AM862" s="5"/>
      <c r="AN862" s="5"/>
      <c r="AO862" s="5"/>
      <c r="AP862" s="5"/>
      <c r="AQ862" s="5"/>
      <c r="AR862" s="5"/>
      <c r="AS862" s="5"/>
      <c r="AT862" s="5"/>
      <c r="AU862" s="5"/>
    </row>
    <row r="863" ht="15.7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c r="AC863" s="5"/>
      <c r="AD863" s="5"/>
      <c r="AE863" s="5"/>
      <c r="AF863" s="5"/>
      <c r="AG863" s="5"/>
      <c r="AH863" s="5"/>
      <c r="AI863" s="5"/>
      <c r="AJ863" s="5"/>
      <c r="AK863" s="5"/>
      <c r="AL863" s="5"/>
      <c r="AM863" s="5"/>
      <c r="AN863" s="5"/>
      <c r="AO863" s="5"/>
      <c r="AP863" s="5"/>
      <c r="AQ863" s="5"/>
      <c r="AR863" s="5"/>
      <c r="AS863" s="5"/>
      <c r="AT863" s="5"/>
      <c r="AU863" s="5"/>
    </row>
    <row r="864" ht="15.7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c r="AC864" s="5"/>
      <c r="AD864" s="5"/>
      <c r="AE864" s="5"/>
      <c r="AF864" s="5"/>
      <c r="AG864" s="5"/>
      <c r="AH864" s="5"/>
      <c r="AI864" s="5"/>
      <c r="AJ864" s="5"/>
      <c r="AK864" s="5"/>
      <c r="AL864" s="5"/>
      <c r="AM864" s="5"/>
      <c r="AN864" s="5"/>
      <c r="AO864" s="5"/>
      <c r="AP864" s="5"/>
      <c r="AQ864" s="5"/>
      <c r="AR864" s="5"/>
      <c r="AS864" s="5"/>
      <c r="AT864" s="5"/>
      <c r="AU864" s="5"/>
    </row>
    <row r="865" ht="15.7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c r="AB865" s="5"/>
      <c r="AC865" s="5"/>
      <c r="AD865" s="5"/>
      <c r="AE865" s="5"/>
      <c r="AF865" s="5"/>
      <c r="AG865" s="5"/>
      <c r="AH865" s="5"/>
      <c r="AI865" s="5"/>
      <c r="AJ865" s="5"/>
      <c r="AK865" s="5"/>
      <c r="AL865" s="5"/>
      <c r="AM865" s="5"/>
      <c r="AN865" s="5"/>
      <c r="AO865" s="5"/>
      <c r="AP865" s="5"/>
      <c r="AQ865" s="5"/>
      <c r="AR865" s="5"/>
      <c r="AS865" s="5"/>
      <c r="AT865" s="5"/>
      <c r="AU865" s="5"/>
    </row>
    <row r="866" ht="15.7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c r="AB866" s="5"/>
      <c r="AC866" s="5"/>
      <c r="AD866" s="5"/>
      <c r="AE866" s="5"/>
      <c r="AF866" s="5"/>
      <c r="AG866" s="5"/>
      <c r="AH866" s="5"/>
      <c r="AI866" s="5"/>
      <c r="AJ866" s="5"/>
      <c r="AK866" s="5"/>
      <c r="AL866" s="5"/>
      <c r="AM866" s="5"/>
      <c r="AN866" s="5"/>
      <c r="AO866" s="5"/>
      <c r="AP866" s="5"/>
      <c r="AQ866" s="5"/>
      <c r="AR866" s="5"/>
      <c r="AS866" s="5"/>
      <c r="AT866" s="5"/>
      <c r="AU866" s="5"/>
    </row>
    <row r="867" ht="15.7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c r="AB867" s="5"/>
      <c r="AC867" s="5"/>
      <c r="AD867" s="5"/>
      <c r="AE867" s="5"/>
      <c r="AF867" s="5"/>
      <c r="AG867" s="5"/>
      <c r="AH867" s="5"/>
      <c r="AI867" s="5"/>
      <c r="AJ867" s="5"/>
      <c r="AK867" s="5"/>
      <c r="AL867" s="5"/>
      <c r="AM867" s="5"/>
      <c r="AN867" s="5"/>
      <c r="AO867" s="5"/>
      <c r="AP867" s="5"/>
      <c r="AQ867" s="5"/>
      <c r="AR867" s="5"/>
      <c r="AS867" s="5"/>
      <c r="AT867" s="5"/>
      <c r="AU867" s="5"/>
    </row>
    <row r="868" ht="15.7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c r="AB868" s="5"/>
      <c r="AC868" s="5"/>
      <c r="AD868" s="5"/>
      <c r="AE868" s="5"/>
      <c r="AF868" s="5"/>
      <c r="AG868" s="5"/>
      <c r="AH868" s="5"/>
      <c r="AI868" s="5"/>
      <c r="AJ868" s="5"/>
      <c r="AK868" s="5"/>
      <c r="AL868" s="5"/>
      <c r="AM868" s="5"/>
      <c r="AN868" s="5"/>
      <c r="AO868" s="5"/>
      <c r="AP868" s="5"/>
      <c r="AQ868" s="5"/>
      <c r="AR868" s="5"/>
      <c r="AS868" s="5"/>
      <c r="AT868" s="5"/>
      <c r="AU868" s="5"/>
    </row>
    <row r="869" ht="15.7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c r="AC869" s="5"/>
      <c r="AD869" s="5"/>
      <c r="AE869" s="5"/>
      <c r="AF869" s="5"/>
      <c r="AG869" s="5"/>
      <c r="AH869" s="5"/>
      <c r="AI869" s="5"/>
      <c r="AJ869" s="5"/>
      <c r="AK869" s="5"/>
      <c r="AL869" s="5"/>
      <c r="AM869" s="5"/>
      <c r="AN869" s="5"/>
      <c r="AO869" s="5"/>
      <c r="AP869" s="5"/>
      <c r="AQ869" s="5"/>
      <c r="AR869" s="5"/>
      <c r="AS869" s="5"/>
      <c r="AT869" s="5"/>
      <c r="AU869" s="5"/>
    </row>
    <row r="870" ht="15.7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c r="AC870" s="5"/>
      <c r="AD870" s="5"/>
      <c r="AE870" s="5"/>
      <c r="AF870" s="5"/>
      <c r="AG870" s="5"/>
      <c r="AH870" s="5"/>
      <c r="AI870" s="5"/>
      <c r="AJ870" s="5"/>
      <c r="AK870" s="5"/>
      <c r="AL870" s="5"/>
      <c r="AM870" s="5"/>
      <c r="AN870" s="5"/>
      <c r="AO870" s="5"/>
      <c r="AP870" s="5"/>
      <c r="AQ870" s="5"/>
      <c r="AR870" s="5"/>
      <c r="AS870" s="5"/>
      <c r="AT870" s="5"/>
      <c r="AU870" s="5"/>
    </row>
    <row r="871" ht="15.7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c r="AB871" s="5"/>
      <c r="AC871" s="5"/>
      <c r="AD871" s="5"/>
      <c r="AE871" s="5"/>
      <c r="AF871" s="5"/>
      <c r="AG871" s="5"/>
      <c r="AH871" s="5"/>
      <c r="AI871" s="5"/>
      <c r="AJ871" s="5"/>
      <c r="AK871" s="5"/>
      <c r="AL871" s="5"/>
      <c r="AM871" s="5"/>
      <c r="AN871" s="5"/>
      <c r="AO871" s="5"/>
      <c r="AP871" s="5"/>
      <c r="AQ871" s="5"/>
      <c r="AR871" s="5"/>
      <c r="AS871" s="5"/>
      <c r="AT871" s="5"/>
      <c r="AU871" s="5"/>
    </row>
    <row r="872" ht="15.7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c r="AB872" s="5"/>
      <c r="AC872" s="5"/>
      <c r="AD872" s="5"/>
      <c r="AE872" s="5"/>
      <c r="AF872" s="5"/>
      <c r="AG872" s="5"/>
      <c r="AH872" s="5"/>
      <c r="AI872" s="5"/>
      <c r="AJ872" s="5"/>
      <c r="AK872" s="5"/>
      <c r="AL872" s="5"/>
      <c r="AM872" s="5"/>
      <c r="AN872" s="5"/>
      <c r="AO872" s="5"/>
      <c r="AP872" s="5"/>
      <c r="AQ872" s="5"/>
      <c r="AR872" s="5"/>
      <c r="AS872" s="5"/>
      <c r="AT872" s="5"/>
      <c r="AU872" s="5"/>
    </row>
    <row r="873" ht="15.7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c r="AB873" s="5"/>
      <c r="AC873" s="5"/>
      <c r="AD873" s="5"/>
      <c r="AE873" s="5"/>
      <c r="AF873" s="5"/>
      <c r="AG873" s="5"/>
      <c r="AH873" s="5"/>
      <c r="AI873" s="5"/>
      <c r="AJ873" s="5"/>
      <c r="AK873" s="5"/>
      <c r="AL873" s="5"/>
      <c r="AM873" s="5"/>
      <c r="AN873" s="5"/>
      <c r="AO873" s="5"/>
      <c r="AP873" s="5"/>
      <c r="AQ873" s="5"/>
      <c r="AR873" s="5"/>
      <c r="AS873" s="5"/>
      <c r="AT873" s="5"/>
      <c r="AU873" s="5"/>
    </row>
    <row r="874" ht="15.7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c r="AB874" s="5"/>
      <c r="AC874" s="5"/>
      <c r="AD874" s="5"/>
      <c r="AE874" s="5"/>
      <c r="AF874" s="5"/>
      <c r="AG874" s="5"/>
      <c r="AH874" s="5"/>
      <c r="AI874" s="5"/>
      <c r="AJ874" s="5"/>
      <c r="AK874" s="5"/>
      <c r="AL874" s="5"/>
      <c r="AM874" s="5"/>
      <c r="AN874" s="5"/>
      <c r="AO874" s="5"/>
      <c r="AP874" s="5"/>
      <c r="AQ874" s="5"/>
      <c r="AR874" s="5"/>
      <c r="AS874" s="5"/>
      <c r="AT874" s="5"/>
      <c r="AU874" s="5"/>
    </row>
    <row r="875" ht="15.7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c r="AC875" s="5"/>
      <c r="AD875" s="5"/>
      <c r="AE875" s="5"/>
      <c r="AF875" s="5"/>
      <c r="AG875" s="5"/>
      <c r="AH875" s="5"/>
      <c r="AI875" s="5"/>
      <c r="AJ875" s="5"/>
      <c r="AK875" s="5"/>
      <c r="AL875" s="5"/>
      <c r="AM875" s="5"/>
      <c r="AN875" s="5"/>
      <c r="AO875" s="5"/>
      <c r="AP875" s="5"/>
      <c r="AQ875" s="5"/>
      <c r="AR875" s="5"/>
      <c r="AS875" s="5"/>
      <c r="AT875" s="5"/>
      <c r="AU875" s="5"/>
    </row>
    <row r="876" ht="15.7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c r="AB876" s="5"/>
      <c r="AC876" s="5"/>
      <c r="AD876" s="5"/>
      <c r="AE876" s="5"/>
      <c r="AF876" s="5"/>
      <c r="AG876" s="5"/>
      <c r="AH876" s="5"/>
      <c r="AI876" s="5"/>
      <c r="AJ876" s="5"/>
      <c r="AK876" s="5"/>
      <c r="AL876" s="5"/>
      <c r="AM876" s="5"/>
      <c r="AN876" s="5"/>
      <c r="AO876" s="5"/>
      <c r="AP876" s="5"/>
      <c r="AQ876" s="5"/>
      <c r="AR876" s="5"/>
      <c r="AS876" s="5"/>
      <c r="AT876" s="5"/>
      <c r="AU876" s="5"/>
    </row>
    <row r="877" ht="15.7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c r="AB877" s="5"/>
      <c r="AC877" s="5"/>
      <c r="AD877" s="5"/>
      <c r="AE877" s="5"/>
      <c r="AF877" s="5"/>
      <c r="AG877" s="5"/>
      <c r="AH877" s="5"/>
      <c r="AI877" s="5"/>
      <c r="AJ877" s="5"/>
      <c r="AK877" s="5"/>
      <c r="AL877" s="5"/>
      <c r="AM877" s="5"/>
      <c r="AN877" s="5"/>
      <c r="AO877" s="5"/>
      <c r="AP877" s="5"/>
      <c r="AQ877" s="5"/>
      <c r="AR877" s="5"/>
      <c r="AS877" s="5"/>
      <c r="AT877" s="5"/>
      <c r="AU877" s="5"/>
    </row>
    <row r="878" ht="15.7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c r="AB878" s="5"/>
      <c r="AC878" s="5"/>
      <c r="AD878" s="5"/>
      <c r="AE878" s="5"/>
      <c r="AF878" s="5"/>
      <c r="AG878" s="5"/>
      <c r="AH878" s="5"/>
      <c r="AI878" s="5"/>
      <c r="AJ878" s="5"/>
      <c r="AK878" s="5"/>
      <c r="AL878" s="5"/>
      <c r="AM878" s="5"/>
      <c r="AN878" s="5"/>
      <c r="AO878" s="5"/>
      <c r="AP878" s="5"/>
      <c r="AQ878" s="5"/>
      <c r="AR878" s="5"/>
      <c r="AS878" s="5"/>
      <c r="AT878" s="5"/>
      <c r="AU878" s="5"/>
    </row>
    <row r="879" ht="15.7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c r="AB879" s="5"/>
      <c r="AC879" s="5"/>
      <c r="AD879" s="5"/>
      <c r="AE879" s="5"/>
      <c r="AF879" s="5"/>
      <c r="AG879" s="5"/>
      <c r="AH879" s="5"/>
      <c r="AI879" s="5"/>
      <c r="AJ879" s="5"/>
      <c r="AK879" s="5"/>
      <c r="AL879" s="5"/>
      <c r="AM879" s="5"/>
      <c r="AN879" s="5"/>
      <c r="AO879" s="5"/>
      <c r="AP879" s="5"/>
      <c r="AQ879" s="5"/>
      <c r="AR879" s="5"/>
      <c r="AS879" s="5"/>
      <c r="AT879" s="5"/>
      <c r="AU879" s="5"/>
    </row>
    <row r="880" ht="15.7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c r="AB880" s="5"/>
      <c r="AC880" s="5"/>
      <c r="AD880" s="5"/>
      <c r="AE880" s="5"/>
      <c r="AF880" s="5"/>
      <c r="AG880" s="5"/>
      <c r="AH880" s="5"/>
      <c r="AI880" s="5"/>
      <c r="AJ880" s="5"/>
      <c r="AK880" s="5"/>
      <c r="AL880" s="5"/>
      <c r="AM880" s="5"/>
      <c r="AN880" s="5"/>
      <c r="AO880" s="5"/>
      <c r="AP880" s="5"/>
      <c r="AQ880" s="5"/>
      <c r="AR880" s="5"/>
      <c r="AS880" s="5"/>
      <c r="AT880" s="5"/>
      <c r="AU880" s="5"/>
    </row>
    <row r="881" ht="15.7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c r="AC881" s="5"/>
      <c r="AD881" s="5"/>
      <c r="AE881" s="5"/>
      <c r="AF881" s="5"/>
      <c r="AG881" s="5"/>
      <c r="AH881" s="5"/>
      <c r="AI881" s="5"/>
      <c r="AJ881" s="5"/>
      <c r="AK881" s="5"/>
      <c r="AL881" s="5"/>
      <c r="AM881" s="5"/>
      <c r="AN881" s="5"/>
      <c r="AO881" s="5"/>
      <c r="AP881" s="5"/>
      <c r="AQ881" s="5"/>
      <c r="AR881" s="5"/>
      <c r="AS881" s="5"/>
      <c r="AT881" s="5"/>
      <c r="AU881" s="5"/>
    </row>
    <row r="882" ht="15.7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c r="AB882" s="5"/>
      <c r="AC882" s="5"/>
      <c r="AD882" s="5"/>
      <c r="AE882" s="5"/>
      <c r="AF882" s="5"/>
      <c r="AG882" s="5"/>
      <c r="AH882" s="5"/>
      <c r="AI882" s="5"/>
      <c r="AJ882" s="5"/>
      <c r="AK882" s="5"/>
      <c r="AL882" s="5"/>
      <c r="AM882" s="5"/>
      <c r="AN882" s="5"/>
      <c r="AO882" s="5"/>
      <c r="AP882" s="5"/>
      <c r="AQ882" s="5"/>
      <c r="AR882" s="5"/>
      <c r="AS882" s="5"/>
      <c r="AT882" s="5"/>
      <c r="AU882" s="5"/>
    </row>
    <row r="883" ht="15.7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c r="AB883" s="5"/>
      <c r="AC883" s="5"/>
      <c r="AD883" s="5"/>
      <c r="AE883" s="5"/>
      <c r="AF883" s="5"/>
      <c r="AG883" s="5"/>
      <c r="AH883" s="5"/>
      <c r="AI883" s="5"/>
      <c r="AJ883" s="5"/>
      <c r="AK883" s="5"/>
      <c r="AL883" s="5"/>
      <c r="AM883" s="5"/>
      <c r="AN883" s="5"/>
      <c r="AO883" s="5"/>
      <c r="AP883" s="5"/>
      <c r="AQ883" s="5"/>
      <c r="AR883" s="5"/>
      <c r="AS883" s="5"/>
      <c r="AT883" s="5"/>
      <c r="AU883" s="5"/>
    </row>
    <row r="884" ht="15.7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c r="AB884" s="5"/>
      <c r="AC884" s="5"/>
      <c r="AD884" s="5"/>
      <c r="AE884" s="5"/>
      <c r="AF884" s="5"/>
      <c r="AG884" s="5"/>
      <c r="AH884" s="5"/>
      <c r="AI884" s="5"/>
      <c r="AJ884" s="5"/>
      <c r="AK884" s="5"/>
      <c r="AL884" s="5"/>
      <c r="AM884" s="5"/>
      <c r="AN884" s="5"/>
      <c r="AO884" s="5"/>
      <c r="AP884" s="5"/>
      <c r="AQ884" s="5"/>
      <c r="AR884" s="5"/>
      <c r="AS884" s="5"/>
      <c r="AT884" s="5"/>
      <c r="AU884" s="5"/>
    </row>
    <row r="885" ht="15.7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c r="AB885" s="5"/>
      <c r="AC885" s="5"/>
      <c r="AD885" s="5"/>
      <c r="AE885" s="5"/>
      <c r="AF885" s="5"/>
      <c r="AG885" s="5"/>
      <c r="AH885" s="5"/>
      <c r="AI885" s="5"/>
      <c r="AJ885" s="5"/>
      <c r="AK885" s="5"/>
      <c r="AL885" s="5"/>
      <c r="AM885" s="5"/>
      <c r="AN885" s="5"/>
      <c r="AO885" s="5"/>
      <c r="AP885" s="5"/>
      <c r="AQ885" s="5"/>
      <c r="AR885" s="5"/>
      <c r="AS885" s="5"/>
      <c r="AT885" s="5"/>
      <c r="AU885" s="5"/>
    </row>
    <row r="886" ht="15.7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c r="AB886" s="5"/>
      <c r="AC886" s="5"/>
      <c r="AD886" s="5"/>
      <c r="AE886" s="5"/>
      <c r="AF886" s="5"/>
      <c r="AG886" s="5"/>
      <c r="AH886" s="5"/>
      <c r="AI886" s="5"/>
      <c r="AJ886" s="5"/>
      <c r="AK886" s="5"/>
      <c r="AL886" s="5"/>
      <c r="AM886" s="5"/>
      <c r="AN886" s="5"/>
      <c r="AO886" s="5"/>
      <c r="AP886" s="5"/>
      <c r="AQ886" s="5"/>
      <c r="AR886" s="5"/>
      <c r="AS886" s="5"/>
      <c r="AT886" s="5"/>
      <c r="AU886" s="5"/>
    </row>
    <row r="887" ht="15.7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c r="AB887" s="5"/>
      <c r="AC887" s="5"/>
      <c r="AD887" s="5"/>
      <c r="AE887" s="5"/>
      <c r="AF887" s="5"/>
      <c r="AG887" s="5"/>
      <c r="AH887" s="5"/>
      <c r="AI887" s="5"/>
      <c r="AJ887" s="5"/>
      <c r="AK887" s="5"/>
      <c r="AL887" s="5"/>
      <c r="AM887" s="5"/>
      <c r="AN887" s="5"/>
      <c r="AO887" s="5"/>
      <c r="AP887" s="5"/>
      <c r="AQ887" s="5"/>
      <c r="AR887" s="5"/>
      <c r="AS887" s="5"/>
      <c r="AT887" s="5"/>
      <c r="AU887" s="5"/>
    </row>
    <row r="888" ht="15.7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c r="AB888" s="5"/>
      <c r="AC888" s="5"/>
      <c r="AD888" s="5"/>
      <c r="AE888" s="5"/>
      <c r="AF888" s="5"/>
      <c r="AG888" s="5"/>
      <c r="AH888" s="5"/>
      <c r="AI888" s="5"/>
      <c r="AJ888" s="5"/>
      <c r="AK888" s="5"/>
      <c r="AL888" s="5"/>
      <c r="AM888" s="5"/>
      <c r="AN888" s="5"/>
      <c r="AO888" s="5"/>
      <c r="AP888" s="5"/>
      <c r="AQ888" s="5"/>
      <c r="AR888" s="5"/>
      <c r="AS888" s="5"/>
      <c r="AT888" s="5"/>
      <c r="AU888" s="5"/>
    </row>
    <row r="889" ht="15.7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c r="AB889" s="5"/>
      <c r="AC889" s="5"/>
      <c r="AD889" s="5"/>
      <c r="AE889" s="5"/>
      <c r="AF889" s="5"/>
      <c r="AG889" s="5"/>
      <c r="AH889" s="5"/>
      <c r="AI889" s="5"/>
      <c r="AJ889" s="5"/>
      <c r="AK889" s="5"/>
      <c r="AL889" s="5"/>
      <c r="AM889" s="5"/>
      <c r="AN889" s="5"/>
      <c r="AO889" s="5"/>
      <c r="AP889" s="5"/>
      <c r="AQ889" s="5"/>
      <c r="AR889" s="5"/>
      <c r="AS889" s="5"/>
      <c r="AT889" s="5"/>
      <c r="AU889" s="5"/>
    </row>
    <row r="890" ht="15.7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c r="AB890" s="5"/>
      <c r="AC890" s="5"/>
      <c r="AD890" s="5"/>
      <c r="AE890" s="5"/>
      <c r="AF890" s="5"/>
      <c r="AG890" s="5"/>
      <c r="AH890" s="5"/>
      <c r="AI890" s="5"/>
      <c r="AJ890" s="5"/>
      <c r="AK890" s="5"/>
      <c r="AL890" s="5"/>
      <c r="AM890" s="5"/>
      <c r="AN890" s="5"/>
      <c r="AO890" s="5"/>
      <c r="AP890" s="5"/>
      <c r="AQ890" s="5"/>
      <c r="AR890" s="5"/>
      <c r="AS890" s="5"/>
      <c r="AT890" s="5"/>
      <c r="AU890" s="5"/>
    </row>
    <row r="891" ht="15.7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c r="AB891" s="5"/>
      <c r="AC891" s="5"/>
      <c r="AD891" s="5"/>
      <c r="AE891" s="5"/>
      <c r="AF891" s="5"/>
      <c r="AG891" s="5"/>
      <c r="AH891" s="5"/>
      <c r="AI891" s="5"/>
      <c r="AJ891" s="5"/>
      <c r="AK891" s="5"/>
      <c r="AL891" s="5"/>
      <c r="AM891" s="5"/>
      <c r="AN891" s="5"/>
      <c r="AO891" s="5"/>
      <c r="AP891" s="5"/>
      <c r="AQ891" s="5"/>
      <c r="AR891" s="5"/>
      <c r="AS891" s="5"/>
      <c r="AT891" s="5"/>
      <c r="AU891" s="5"/>
    </row>
    <row r="892" ht="15.7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c r="AB892" s="5"/>
      <c r="AC892" s="5"/>
      <c r="AD892" s="5"/>
      <c r="AE892" s="5"/>
      <c r="AF892" s="5"/>
      <c r="AG892" s="5"/>
      <c r="AH892" s="5"/>
      <c r="AI892" s="5"/>
      <c r="AJ892" s="5"/>
      <c r="AK892" s="5"/>
      <c r="AL892" s="5"/>
      <c r="AM892" s="5"/>
      <c r="AN892" s="5"/>
      <c r="AO892" s="5"/>
      <c r="AP892" s="5"/>
      <c r="AQ892" s="5"/>
      <c r="AR892" s="5"/>
      <c r="AS892" s="5"/>
      <c r="AT892" s="5"/>
      <c r="AU892" s="5"/>
    </row>
    <row r="893" ht="15.7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c r="AB893" s="5"/>
      <c r="AC893" s="5"/>
      <c r="AD893" s="5"/>
      <c r="AE893" s="5"/>
      <c r="AF893" s="5"/>
      <c r="AG893" s="5"/>
      <c r="AH893" s="5"/>
      <c r="AI893" s="5"/>
      <c r="AJ893" s="5"/>
      <c r="AK893" s="5"/>
      <c r="AL893" s="5"/>
      <c r="AM893" s="5"/>
      <c r="AN893" s="5"/>
      <c r="AO893" s="5"/>
      <c r="AP893" s="5"/>
      <c r="AQ893" s="5"/>
      <c r="AR893" s="5"/>
      <c r="AS893" s="5"/>
      <c r="AT893" s="5"/>
      <c r="AU893" s="5"/>
    </row>
    <row r="894" ht="15.7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5"/>
      <c r="AC894" s="5"/>
      <c r="AD894" s="5"/>
      <c r="AE894" s="5"/>
      <c r="AF894" s="5"/>
      <c r="AG894" s="5"/>
      <c r="AH894" s="5"/>
      <c r="AI894" s="5"/>
      <c r="AJ894" s="5"/>
      <c r="AK894" s="5"/>
      <c r="AL894" s="5"/>
      <c r="AM894" s="5"/>
      <c r="AN894" s="5"/>
      <c r="AO894" s="5"/>
      <c r="AP894" s="5"/>
      <c r="AQ894" s="5"/>
      <c r="AR894" s="5"/>
      <c r="AS894" s="5"/>
      <c r="AT894" s="5"/>
      <c r="AU894" s="5"/>
    </row>
    <row r="895" ht="15.7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c r="AB895" s="5"/>
      <c r="AC895" s="5"/>
      <c r="AD895" s="5"/>
      <c r="AE895" s="5"/>
      <c r="AF895" s="5"/>
      <c r="AG895" s="5"/>
      <c r="AH895" s="5"/>
      <c r="AI895" s="5"/>
      <c r="AJ895" s="5"/>
      <c r="AK895" s="5"/>
      <c r="AL895" s="5"/>
      <c r="AM895" s="5"/>
      <c r="AN895" s="5"/>
      <c r="AO895" s="5"/>
      <c r="AP895" s="5"/>
      <c r="AQ895" s="5"/>
      <c r="AR895" s="5"/>
      <c r="AS895" s="5"/>
      <c r="AT895" s="5"/>
      <c r="AU895" s="5"/>
    </row>
    <row r="896" ht="15.7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c r="AB896" s="5"/>
      <c r="AC896" s="5"/>
      <c r="AD896" s="5"/>
      <c r="AE896" s="5"/>
      <c r="AF896" s="5"/>
      <c r="AG896" s="5"/>
      <c r="AH896" s="5"/>
      <c r="AI896" s="5"/>
      <c r="AJ896" s="5"/>
      <c r="AK896" s="5"/>
      <c r="AL896" s="5"/>
      <c r="AM896" s="5"/>
      <c r="AN896" s="5"/>
      <c r="AO896" s="5"/>
      <c r="AP896" s="5"/>
      <c r="AQ896" s="5"/>
      <c r="AR896" s="5"/>
      <c r="AS896" s="5"/>
      <c r="AT896" s="5"/>
      <c r="AU896" s="5"/>
    </row>
    <row r="897" ht="15.7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c r="AB897" s="5"/>
      <c r="AC897" s="5"/>
      <c r="AD897" s="5"/>
      <c r="AE897" s="5"/>
      <c r="AF897" s="5"/>
      <c r="AG897" s="5"/>
      <c r="AH897" s="5"/>
      <c r="AI897" s="5"/>
      <c r="AJ897" s="5"/>
      <c r="AK897" s="5"/>
      <c r="AL897" s="5"/>
      <c r="AM897" s="5"/>
      <c r="AN897" s="5"/>
      <c r="AO897" s="5"/>
      <c r="AP897" s="5"/>
      <c r="AQ897" s="5"/>
      <c r="AR897" s="5"/>
      <c r="AS897" s="5"/>
      <c r="AT897" s="5"/>
      <c r="AU897" s="5"/>
    </row>
    <row r="898" ht="15.7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c r="AB898" s="5"/>
      <c r="AC898" s="5"/>
      <c r="AD898" s="5"/>
      <c r="AE898" s="5"/>
      <c r="AF898" s="5"/>
      <c r="AG898" s="5"/>
      <c r="AH898" s="5"/>
      <c r="AI898" s="5"/>
      <c r="AJ898" s="5"/>
      <c r="AK898" s="5"/>
      <c r="AL898" s="5"/>
      <c r="AM898" s="5"/>
      <c r="AN898" s="5"/>
      <c r="AO898" s="5"/>
      <c r="AP898" s="5"/>
      <c r="AQ898" s="5"/>
      <c r="AR898" s="5"/>
      <c r="AS898" s="5"/>
      <c r="AT898" s="5"/>
      <c r="AU898" s="5"/>
    </row>
    <row r="899" ht="15.7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c r="AB899" s="5"/>
      <c r="AC899" s="5"/>
      <c r="AD899" s="5"/>
      <c r="AE899" s="5"/>
      <c r="AF899" s="5"/>
      <c r="AG899" s="5"/>
      <c r="AH899" s="5"/>
      <c r="AI899" s="5"/>
      <c r="AJ899" s="5"/>
      <c r="AK899" s="5"/>
      <c r="AL899" s="5"/>
      <c r="AM899" s="5"/>
      <c r="AN899" s="5"/>
      <c r="AO899" s="5"/>
      <c r="AP899" s="5"/>
      <c r="AQ899" s="5"/>
      <c r="AR899" s="5"/>
      <c r="AS899" s="5"/>
      <c r="AT899" s="5"/>
      <c r="AU899" s="5"/>
    </row>
    <row r="900" ht="15.7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c r="AB900" s="5"/>
      <c r="AC900" s="5"/>
      <c r="AD900" s="5"/>
      <c r="AE900" s="5"/>
      <c r="AF900" s="5"/>
      <c r="AG900" s="5"/>
      <c r="AH900" s="5"/>
      <c r="AI900" s="5"/>
      <c r="AJ900" s="5"/>
      <c r="AK900" s="5"/>
      <c r="AL900" s="5"/>
      <c r="AM900" s="5"/>
      <c r="AN900" s="5"/>
      <c r="AO900" s="5"/>
      <c r="AP900" s="5"/>
      <c r="AQ900" s="5"/>
      <c r="AR900" s="5"/>
      <c r="AS900" s="5"/>
      <c r="AT900" s="5"/>
      <c r="AU900" s="5"/>
    </row>
    <row r="901" ht="15.7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c r="AB901" s="5"/>
      <c r="AC901" s="5"/>
      <c r="AD901" s="5"/>
      <c r="AE901" s="5"/>
      <c r="AF901" s="5"/>
      <c r="AG901" s="5"/>
      <c r="AH901" s="5"/>
      <c r="AI901" s="5"/>
      <c r="AJ901" s="5"/>
      <c r="AK901" s="5"/>
      <c r="AL901" s="5"/>
      <c r="AM901" s="5"/>
      <c r="AN901" s="5"/>
      <c r="AO901" s="5"/>
      <c r="AP901" s="5"/>
      <c r="AQ901" s="5"/>
      <c r="AR901" s="5"/>
      <c r="AS901" s="5"/>
      <c r="AT901" s="5"/>
      <c r="AU901" s="5"/>
    </row>
    <row r="902" ht="15.7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c r="AB902" s="5"/>
      <c r="AC902" s="5"/>
      <c r="AD902" s="5"/>
      <c r="AE902" s="5"/>
      <c r="AF902" s="5"/>
      <c r="AG902" s="5"/>
      <c r="AH902" s="5"/>
      <c r="AI902" s="5"/>
      <c r="AJ902" s="5"/>
      <c r="AK902" s="5"/>
      <c r="AL902" s="5"/>
      <c r="AM902" s="5"/>
      <c r="AN902" s="5"/>
      <c r="AO902" s="5"/>
      <c r="AP902" s="5"/>
      <c r="AQ902" s="5"/>
      <c r="AR902" s="5"/>
      <c r="AS902" s="5"/>
      <c r="AT902" s="5"/>
      <c r="AU902" s="5"/>
    </row>
    <row r="903" ht="15.7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c r="AB903" s="5"/>
      <c r="AC903" s="5"/>
      <c r="AD903" s="5"/>
      <c r="AE903" s="5"/>
      <c r="AF903" s="5"/>
      <c r="AG903" s="5"/>
      <c r="AH903" s="5"/>
      <c r="AI903" s="5"/>
      <c r="AJ903" s="5"/>
      <c r="AK903" s="5"/>
      <c r="AL903" s="5"/>
      <c r="AM903" s="5"/>
      <c r="AN903" s="5"/>
      <c r="AO903" s="5"/>
      <c r="AP903" s="5"/>
      <c r="AQ903" s="5"/>
      <c r="AR903" s="5"/>
      <c r="AS903" s="5"/>
      <c r="AT903" s="5"/>
      <c r="AU903" s="5"/>
    </row>
    <row r="904" ht="15.7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c r="AB904" s="5"/>
      <c r="AC904" s="5"/>
      <c r="AD904" s="5"/>
      <c r="AE904" s="5"/>
      <c r="AF904" s="5"/>
      <c r="AG904" s="5"/>
      <c r="AH904" s="5"/>
      <c r="AI904" s="5"/>
      <c r="AJ904" s="5"/>
      <c r="AK904" s="5"/>
      <c r="AL904" s="5"/>
      <c r="AM904" s="5"/>
      <c r="AN904" s="5"/>
      <c r="AO904" s="5"/>
      <c r="AP904" s="5"/>
      <c r="AQ904" s="5"/>
      <c r="AR904" s="5"/>
      <c r="AS904" s="5"/>
      <c r="AT904" s="5"/>
      <c r="AU904" s="5"/>
    </row>
    <row r="905" ht="15.7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c r="AB905" s="5"/>
      <c r="AC905" s="5"/>
      <c r="AD905" s="5"/>
      <c r="AE905" s="5"/>
      <c r="AF905" s="5"/>
      <c r="AG905" s="5"/>
      <c r="AH905" s="5"/>
      <c r="AI905" s="5"/>
      <c r="AJ905" s="5"/>
      <c r="AK905" s="5"/>
      <c r="AL905" s="5"/>
      <c r="AM905" s="5"/>
      <c r="AN905" s="5"/>
      <c r="AO905" s="5"/>
      <c r="AP905" s="5"/>
      <c r="AQ905" s="5"/>
      <c r="AR905" s="5"/>
      <c r="AS905" s="5"/>
      <c r="AT905" s="5"/>
      <c r="AU905" s="5"/>
    </row>
    <row r="906" ht="15.7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5"/>
      <c r="AC906" s="5"/>
      <c r="AD906" s="5"/>
      <c r="AE906" s="5"/>
      <c r="AF906" s="5"/>
      <c r="AG906" s="5"/>
      <c r="AH906" s="5"/>
      <c r="AI906" s="5"/>
      <c r="AJ906" s="5"/>
      <c r="AK906" s="5"/>
      <c r="AL906" s="5"/>
      <c r="AM906" s="5"/>
      <c r="AN906" s="5"/>
      <c r="AO906" s="5"/>
      <c r="AP906" s="5"/>
      <c r="AQ906" s="5"/>
      <c r="AR906" s="5"/>
      <c r="AS906" s="5"/>
      <c r="AT906" s="5"/>
      <c r="AU906" s="5"/>
    </row>
    <row r="907" ht="15.7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c r="AB907" s="5"/>
      <c r="AC907" s="5"/>
      <c r="AD907" s="5"/>
      <c r="AE907" s="5"/>
      <c r="AF907" s="5"/>
      <c r="AG907" s="5"/>
      <c r="AH907" s="5"/>
      <c r="AI907" s="5"/>
      <c r="AJ907" s="5"/>
      <c r="AK907" s="5"/>
      <c r="AL907" s="5"/>
      <c r="AM907" s="5"/>
      <c r="AN907" s="5"/>
      <c r="AO907" s="5"/>
      <c r="AP907" s="5"/>
      <c r="AQ907" s="5"/>
      <c r="AR907" s="5"/>
      <c r="AS907" s="5"/>
      <c r="AT907" s="5"/>
      <c r="AU907" s="5"/>
    </row>
    <row r="908" ht="15.7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5"/>
      <c r="AC908" s="5"/>
      <c r="AD908" s="5"/>
      <c r="AE908" s="5"/>
      <c r="AF908" s="5"/>
      <c r="AG908" s="5"/>
      <c r="AH908" s="5"/>
      <c r="AI908" s="5"/>
      <c r="AJ908" s="5"/>
      <c r="AK908" s="5"/>
      <c r="AL908" s="5"/>
      <c r="AM908" s="5"/>
      <c r="AN908" s="5"/>
      <c r="AO908" s="5"/>
      <c r="AP908" s="5"/>
      <c r="AQ908" s="5"/>
      <c r="AR908" s="5"/>
      <c r="AS908" s="5"/>
      <c r="AT908" s="5"/>
      <c r="AU908" s="5"/>
    </row>
    <row r="909" ht="15.7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c r="AB909" s="5"/>
      <c r="AC909" s="5"/>
      <c r="AD909" s="5"/>
      <c r="AE909" s="5"/>
      <c r="AF909" s="5"/>
      <c r="AG909" s="5"/>
      <c r="AH909" s="5"/>
      <c r="AI909" s="5"/>
      <c r="AJ909" s="5"/>
      <c r="AK909" s="5"/>
      <c r="AL909" s="5"/>
      <c r="AM909" s="5"/>
      <c r="AN909" s="5"/>
      <c r="AO909" s="5"/>
      <c r="AP909" s="5"/>
      <c r="AQ909" s="5"/>
      <c r="AR909" s="5"/>
      <c r="AS909" s="5"/>
      <c r="AT909" s="5"/>
      <c r="AU909" s="5"/>
    </row>
    <row r="910" ht="15.7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c r="AB910" s="5"/>
      <c r="AC910" s="5"/>
      <c r="AD910" s="5"/>
      <c r="AE910" s="5"/>
      <c r="AF910" s="5"/>
      <c r="AG910" s="5"/>
      <c r="AH910" s="5"/>
      <c r="AI910" s="5"/>
      <c r="AJ910" s="5"/>
      <c r="AK910" s="5"/>
      <c r="AL910" s="5"/>
      <c r="AM910" s="5"/>
      <c r="AN910" s="5"/>
      <c r="AO910" s="5"/>
      <c r="AP910" s="5"/>
      <c r="AQ910" s="5"/>
      <c r="AR910" s="5"/>
      <c r="AS910" s="5"/>
      <c r="AT910" s="5"/>
      <c r="AU910" s="5"/>
    </row>
    <row r="911" ht="15.7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c r="AB911" s="5"/>
      <c r="AC911" s="5"/>
      <c r="AD911" s="5"/>
      <c r="AE911" s="5"/>
      <c r="AF911" s="5"/>
      <c r="AG911" s="5"/>
      <c r="AH911" s="5"/>
      <c r="AI911" s="5"/>
      <c r="AJ911" s="5"/>
      <c r="AK911" s="5"/>
      <c r="AL911" s="5"/>
      <c r="AM911" s="5"/>
      <c r="AN911" s="5"/>
      <c r="AO911" s="5"/>
      <c r="AP911" s="5"/>
      <c r="AQ911" s="5"/>
      <c r="AR911" s="5"/>
      <c r="AS911" s="5"/>
      <c r="AT911" s="5"/>
      <c r="AU911" s="5"/>
    </row>
    <row r="912" ht="15.7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c r="AB912" s="5"/>
      <c r="AC912" s="5"/>
      <c r="AD912" s="5"/>
      <c r="AE912" s="5"/>
      <c r="AF912" s="5"/>
      <c r="AG912" s="5"/>
      <c r="AH912" s="5"/>
      <c r="AI912" s="5"/>
      <c r="AJ912" s="5"/>
      <c r="AK912" s="5"/>
      <c r="AL912" s="5"/>
      <c r="AM912" s="5"/>
      <c r="AN912" s="5"/>
      <c r="AO912" s="5"/>
      <c r="AP912" s="5"/>
      <c r="AQ912" s="5"/>
      <c r="AR912" s="5"/>
      <c r="AS912" s="5"/>
      <c r="AT912" s="5"/>
      <c r="AU912" s="5"/>
    </row>
    <row r="913" ht="15.7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c r="AB913" s="5"/>
      <c r="AC913" s="5"/>
      <c r="AD913" s="5"/>
      <c r="AE913" s="5"/>
      <c r="AF913" s="5"/>
      <c r="AG913" s="5"/>
      <c r="AH913" s="5"/>
      <c r="AI913" s="5"/>
      <c r="AJ913" s="5"/>
      <c r="AK913" s="5"/>
      <c r="AL913" s="5"/>
      <c r="AM913" s="5"/>
      <c r="AN913" s="5"/>
      <c r="AO913" s="5"/>
      <c r="AP913" s="5"/>
      <c r="AQ913" s="5"/>
      <c r="AR913" s="5"/>
      <c r="AS913" s="5"/>
      <c r="AT913" s="5"/>
      <c r="AU913" s="5"/>
    </row>
    <row r="914" ht="15.7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c r="AB914" s="5"/>
      <c r="AC914" s="5"/>
      <c r="AD914" s="5"/>
      <c r="AE914" s="5"/>
      <c r="AF914" s="5"/>
      <c r="AG914" s="5"/>
      <c r="AH914" s="5"/>
      <c r="AI914" s="5"/>
      <c r="AJ914" s="5"/>
      <c r="AK914" s="5"/>
      <c r="AL914" s="5"/>
      <c r="AM914" s="5"/>
      <c r="AN914" s="5"/>
      <c r="AO914" s="5"/>
      <c r="AP914" s="5"/>
      <c r="AQ914" s="5"/>
      <c r="AR914" s="5"/>
      <c r="AS914" s="5"/>
      <c r="AT914" s="5"/>
      <c r="AU914" s="5"/>
    </row>
    <row r="915" ht="15.7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c r="AB915" s="5"/>
      <c r="AC915" s="5"/>
      <c r="AD915" s="5"/>
      <c r="AE915" s="5"/>
      <c r="AF915" s="5"/>
      <c r="AG915" s="5"/>
      <c r="AH915" s="5"/>
      <c r="AI915" s="5"/>
      <c r="AJ915" s="5"/>
      <c r="AK915" s="5"/>
      <c r="AL915" s="5"/>
      <c r="AM915" s="5"/>
      <c r="AN915" s="5"/>
      <c r="AO915" s="5"/>
      <c r="AP915" s="5"/>
      <c r="AQ915" s="5"/>
      <c r="AR915" s="5"/>
      <c r="AS915" s="5"/>
      <c r="AT915" s="5"/>
      <c r="AU915" s="5"/>
    </row>
    <row r="916" ht="15.7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c r="AB916" s="5"/>
      <c r="AC916" s="5"/>
      <c r="AD916" s="5"/>
      <c r="AE916" s="5"/>
      <c r="AF916" s="5"/>
      <c r="AG916" s="5"/>
      <c r="AH916" s="5"/>
      <c r="AI916" s="5"/>
      <c r="AJ916" s="5"/>
      <c r="AK916" s="5"/>
      <c r="AL916" s="5"/>
      <c r="AM916" s="5"/>
      <c r="AN916" s="5"/>
      <c r="AO916" s="5"/>
      <c r="AP916" s="5"/>
      <c r="AQ916" s="5"/>
      <c r="AR916" s="5"/>
      <c r="AS916" s="5"/>
      <c r="AT916" s="5"/>
      <c r="AU916" s="5"/>
    </row>
    <row r="917" ht="15.7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c r="AB917" s="5"/>
      <c r="AC917" s="5"/>
      <c r="AD917" s="5"/>
      <c r="AE917" s="5"/>
      <c r="AF917" s="5"/>
      <c r="AG917" s="5"/>
      <c r="AH917" s="5"/>
      <c r="AI917" s="5"/>
      <c r="AJ917" s="5"/>
      <c r="AK917" s="5"/>
      <c r="AL917" s="5"/>
      <c r="AM917" s="5"/>
      <c r="AN917" s="5"/>
      <c r="AO917" s="5"/>
      <c r="AP917" s="5"/>
      <c r="AQ917" s="5"/>
      <c r="AR917" s="5"/>
      <c r="AS917" s="5"/>
      <c r="AT917" s="5"/>
      <c r="AU917" s="5"/>
    </row>
    <row r="918" ht="15.7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c r="AB918" s="5"/>
      <c r="AC918" s="5"/>
      <c r="AD918" s="5"/>
      <c r="AE918" s="5"/>
      <c r="AF918" s="5"/>
      <c r="AG918" s="5"/>
      <c r="AH918" s="5"/>
      <c r="AI918" s="5"/>
      <c r="AJ918" s="5"/>
      <c r="AK918" s="5"/>
      <c r="AL918" s="5"/>
      <c r="AM918" s="5"/>
      <c r="AN918" s="5"/>
      <c r="AO918" s="5"/>
      <c r="AP918" s="5"/>
      <c r="AQ918" s="5"/>
      <c r="AR918" s="5"/>
      <c r="AS918" s="5"/>
      <c r="AT918" s="5"/>
      <c r="AU918" s="5"/>
    </row>
    <row r="919" ht="15.7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c r="AB919" s="5"/>
      <c r="AC919" s="5"/>
      <c r="AD919" s="5"/>
      <c r="AE919" s="5"/>
      <c r="AF919" s="5"/>
      <c r="AG919" s="5"/>
      <c r="AH919" s="5"/>
      <c r="AI919" s="5"/>
      <c r="AJ919" s="5"/>
      <c r="AK919" s="5"/>
      <c r="AL919" s="5"/>
      <c r="AM919" s="5"/>
      <c r="AN919" s="5"/>
      <c r="AO919" s="5"/>
      <c r="AP919" s="5"/>
      <c r="AQ919" s="5"/>
      <c r="AR919" s="5"/>
      <c r="AS919" s="5"/>
      <c r="AT919" s="5"/>
      <c r="AU919" s="5"/>
    </row>
    <row r="920" ht="15.7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c r="AB920" s="5"/>
      <c r="AC920" s="5"/>
      <c r="AD920" s="5"/>
      <c r="AE920" s="5"/>
      <c r="AF920" s="5"/>
      <c r="AG920" s="5"/>
      <c r="AH920" s="5"/>
      <c r="AI920" s="5"/>
      <c r="AJ920" s="5"/>
      <c r="AK920" s="5"/>
      <c r="AL920" s="5"/>
      <c r="AM920" s="5"/>
      <c r="AN920" s="5"/>
      <c r="AO920" s="5"/>
      <c r="AP920" s="5"/>
      <c r="AQ920" s="5"/>
      <c r="AR920" s="5"/>
      <c r="AS920" s="5"/>
      <c r="AT920" s="5"/>
      <c r="AU920" s="5"/>
    </row>
    <row r="921" ht="15.7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c r="AB921" s="5"/>
      <c r="AC921" s="5"/>
      <c r="AD921" s="5"/>
      <c r="AE921" s="5"/>
      <c r="AF921" s="5"/>
      <c r="AG921" s="5"/>
      <c r="AH921" s="5"/>
      <c r="AI921" s="5"/>
      <c r="AJ921" s="5"/>
      <c r="AK921" s="5"/>
      <c r="AL921" s="5"/>
      <c r="AM921" s="5"/>
      <c r="AN921" s="5"/>
      <c r="AO921" s="5"/>
      <c r="AP921" s="5"/>
      <c r="AQ921" s="5"/>
      <c r="AR921" s="5"/>
      <c r="AS921" s="5"/>
      <c r="AT921" s="5"/>
      <c r="AU921" s="5"/>
    </row>
    <row r="922" ht="15.7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c r="AB922" s="5"/>
      <c r="AC922" s="5"/>
      <c r="AD922" s="5"/>
      <c r="AE922" s="5"/>
      <c r="AF922" s="5"/>
      <c r="AG922" s="5"/>
      <c r="AH922" s="5"/>
      <c r="AI922" s="5"/>
      <c r="AJ922" s="5"/>
      <c r="AK922" s="5"/>
      <c r="AL922" s="5"/>
      <c r="AM922" s="5"/>
      <c r="AN922" s="5"/>
      <c r="AO922" s="5"/>
      <c r="AP922" s="5"/>
      <c r="AQ922" s="5"/>
      <c r="AR922" s="5"/>
      <c r="AS922" s="5"/>
      <c r="AT922" s="5"/>
      <c r="AU922" s="5"/>
    </row>
    <row r="923" ht="15.7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c r="AB923" s="5"/>
      <c r="AC923" s="5"/>
      <c r="AD923" s="5"/>
      <c r="AE923" s="5"/>
      <c r="AF923" s="5"/>
      <c r="AG923" s="5"/>
      <c r="AH923" s="5"/>
      <c r="AI923" s="5"/>
      <c r="AJ923" s="5"/>
      <c r="AK923" s="5"/>
      <c r="AL923" s="5"/>
      <c r="AM923" s="5"/>
      <c r="AN923" s="5"/>
      <c r="AO923" s="5"/>
      <c r="AP923" s="5"/>
      <c r="AQ923" s="5"/>
      <c r="AR923" s="5"/>
      <c r="AS923" s="5"/>
      <c r="AT923" s="5"/>
      <c r="AU923" s="5"/>
    </row>
    <row r="924" ht="15.7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c r="AC924" s="5"/>
      <c r="AD924" s="5"/>
      <c r="AE924" s="5"/>
      <c r="AF924" s="5"/>
      <c r="AG924" s="5"/>
      <c r="AH924" s="5"/>
      <c r="AI924" s="5"/>
      <c r="AJ924" s="5"/>
      <c r="AK924" s="5"/>
      <c r="AL924" s="5"/>
      <c r="AM924" s="5"/>
      <c r="AN924" s="5"/>
      <c r="AO924" s="5"/>
      <c r="AP924" s="5"/>
      <c r="AQ924" s="5"/>
      <c r="AR924" s="5"/>
      <c r="AS924" s="5"/>
      <c r="AT924" s="5"/>
      <c r="AU924" s="5"/>
    </row>
    <row r="925" ht="15.7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c r="AB925" s="5"/>
      <c r="AC925" s="5"/>
      <c r="AD925" s="5"/>
      <c r="AE925" s="5"/>
      <c r="AF925" s="5"/>
      <c r="AG925" s="5"/>
      <c r="AH925" s="5"/>
      <c r="AI925" s="5"/>
      <c r="AJ925" s="5"/>
      <c r="AK925" s="5"/>
      <c r="AL925" s="5"/>
      <c r="AM925" s="5"/>
      <c r="AN925" s="5"/>
      <c r="AO925" s="5"/>
      <c r="AP925" s="5"/>
      <c r="AQ925" s="5"/>
      <c r="AR925" s="5"/>
      <c r="AS925" s="5"/>
      <c r="AT925" s="5"/>
      <c r="AU925" s="5"/>
    </row>
    <row r="926" ht="15.7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c r="AB926" s="5"/>
      <c r="AC926" s="5"/>
      <c r="AD926" s="5"/>
      <c r="AE926" s="5"/>
      <c r="AF926" s="5"/>
      <c r="AG926" s="5"/>
      <c r="AH926" s="5"/>
      <c r="AI926" s="5"/>
      <c r="AJ926" s="5"/>
      <c r="AK926" s="5"/>
      <c r="AL926" s="5"/>
      <c r="AM926" s="5"/>
      <c r="AN926" s="5"/>
      <c r="AO926" s="5"/>
      <c r="AP926" s="5"/>
      <c r="AQ926" s="5"/>
      <c r="AR926" s="5"/>
      <c r="AS926" s="5"/>
      <c r="AT926" s="5"/>
      <c r="AU926" s="5"/>
    </row>
    <row r="927" ht="15.7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c r="AB927" s="5"/>
      <c r="AC927" s="5"/>
      <c r="AD927" s="5"/>
      <c r="AE927" s="5"/>
      <c r="AF927" s="5"/>
      <c r="AG927" s="5"/>
      <c r="AH927" s="5"/>
      <c r="AI927" s="5"/>
      <c r="AJ927" s="5"/>
      <c r="AK927" s="5"/>
      <c r="AL927" s="5"/>
      <c r="AM927" s="5"/>
      <c r="AN927" s="5"/>
      <c r="AO927" s="5"/>
      <c r="AP927" s="5"/>
      <c r="AQ927" s="5"/>
      <c r="AR927" s="5"/>
      <c r="AS927" s="5"/>
      <c r="AT927" s="5"/>
      <c r="AU927" s="5"/>
    </row>
    <row r="928" ht="15.7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c r="AB928" s="5"/>
      <c r="AC928" s="5"/>
      <c r="AD928" s="5"/>
      <c r="AE928" s="5"/>
      <c r="AF928" s="5"/>
      <c r="AG928" s="5"/>
      <c r="AH928" s="5"/>
      <c r="AI928" s="5"/>
      <c r="AJ928" s="5"/>
      <c r="AK928" s="5"/>
      <c r="AL928" s="5"/>
      <c r="AM928" s="5"/>
      <c r="AN928" s="5"/>
      <c r="AO928" s="5"/>
      <c r="AP928" s="5"/>
      <c r="AQ928" s="5"/>
      <c r="AR928" s="5"/>
      <c r="AS928" s="5"/>
      <c r="AT928" s="5"/>
      <c r="AU928" s="5"/>
    </row>
    <row r="929" ht="15.7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c r="AB929" s="5"/>
      <c r="AC929" s="5"/>
      <c r="AD929" s="5"/>
      <c r="AE929" s="5"/>
      <c r="AF929" s="5"/>
      <c r="AG929" s="5"/>
      <c r="AH929" s="5"/>
      <c r="AI929" s="5"/>
      <c r="AJ929" s="5"/>
      <c r="AK929" s="5"/>
      <c r="AL929" s="5"/>
      <c r="AM929" s="5"/>
      <c r="AN929" s="5"/>
      <c r="AO929" s="5"/>
      <c r="AP929" s="5"/>
      <c r="AQ929" s="5"/>
      <c r="AR929" s="5"/>
      <c r="AS929" s="5"/>
      <c r="AT929" s="5"/>
      <c r="AU929" s="5"/>
    </row>
    <row r="930" ht="15.7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c r="AB930" s="5"/>
      <c r="AC930" s="5"/>
      <c r="AD930" s="5"/>
      <c r="AE930" s="5"/>
      <c r="AF930" s="5"/>
      <c r="AG930" s="5"/>
      <c r="AH930" s="5"/>
      <c r="AI930" s="5"/>
      <c r="AJ930" s="5"/>
      <c r="AK930" s="5"/>
      <c r="AL930" s="5"/>
      <c r="AM930" s="5"/>
      <c r="AN930" s="5"/>
      <c r="AO930" s="5"/>
      <c r="AP930" s="5"/>
      <c r="AQ930" s="5"/>
      <c r="AR930" s="5"/>
      <c r="AS930" s="5"/>
      <c r="AT930" s="5"/>
      <c r="AU930" s="5"/>
    </row>
    <row r="931" ht="15.7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c r="AB931" s="5"/>
      <c r="AC931" s="5"/>
      <c r="AD931" s="5"/>
      <c r="AE931" s="5"/>
      <c r="AF931" s="5"/>
      <c r="AG931" s="5"/>
      <c r="AH931" s="5"/>
      <c r="AI931" s="5"/>
      <c r="AJ931" s="5"/>
      <c r="AK931" s="5"/>
      <c r="AL931" s="5"/>
      <c r="AM931" s="5"/>
      <c r="AN931" s="5"/>
      <c r="AO931" s="5"/>
      <c r="AP931" s="5"/>
      <c r="AQ931" s="5"/>
      <c r="AR931" s="5"/>
      <c r="AS931" s="5"/>
      <c r="AT931" s="5"/>
      <c r="AU931" s="5"/>
    </row>
    <row r="932" ht="15.7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c r="AB932" s="5"/>
      <c r="AC932" s="5"/>
      <c r="AD932" s="5"/>
      <c r="AE932" s="5"/>
      <c r="AF932" s="5"/>
      <c r="AG932" s="5"/>
      <c r="AH932" s="5"/>
      <c r="AI932" s="5"/>
      <c r="AJ932" s="5"/>
      <c r="AK932" s="5"/>
      <c r="AL932" s="5"/>
      <c r="AM932" s="5"/>
      <c r="AN932" s="5"/>
      <c r="AO932" s="5"/>
      <c r="AP932" s="5"/>
      <c r="AQ932" s="5"/>
      <c r="AR932" s="5"/>
      <c r="AS932" s="5"/>
      <c r="AT932" s="5"/>
      <c r="AU932" s="5"/>
    </row>
    <row r="933" ht="15.7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c r="AB933" s="5"/>
      <c r="AC933" s="5"/>
      <c r="AD933" s="5"/>
      <c r="AE933" s="5"/>
      <c r="AF933" s="5"/>
      <c r="AG933" s="5"/>
      <c r="AH933" s="5"/>
      <c r="AI933" s="5"/>
      <c r="AJ933" s="5"/>
      <c r="AK933" s="5"/>
      <c r="AL933" s="5"/>
      <c r="AM933" s="5"/>
      <c r="AN933" s="5"/>
      <c r="AO933" s="5"/>
      <c r="AP933" s="5"/>
      <c r="AQ933" s="5"/>
      <c r="AR933" s="5"/>
      <c r="AS933" s="5"/>
      <c r="AT933" s="5"/>
      <c r="AU933" s="5"/>
    </row>
    <row r="934" ht="15.7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c r="AB934" s="5"/>
      <c r="AC934" s="5"/>
      <c r="AD934" s="5"/>
      <c r="AE934" s="5"/>
      <c r="AF934" s="5"/>
      <c r="AG934" s="5"/>
      <c r="AH934" s="5"/>
      <c r="AI934" s="5"/>
      <c r="AJ934" s="5"/>
      <c r="AK934" s="5"/>
      <c r="AL934" s="5"/>
      <c r="AM934" s="5"/>
      <c r="AN934" s="5"/>
      <c r="AO934" s="5"/>
      <c r="AP934" s="5"/>
      <c r="AQ934" s="5"/>
      <c r="AR934" s="5"/>
      <c r="AS934" s="5"/>
      <c r="AT934" s="5"/>
      <c r="AU934" s="5"/>
    </row>
    <row r="935" ht="15.7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c r="AB935" s="5"/>
      <c r="AC935" s="5"/>
      <c r="AD935" s="5"/>
      <c r="AE935" s="5"/>
      <c r="AF935" s="5"/>
      <c r="AG935" s="5"/>
      <c r="AH935" s="5"/>
      <c r="AI935" s="5"/>
      <c r="AJ935" s="5"/>
      <c r="AK935" s="5"/>
      <c r="AL935" s="5"/>
      <c r="AM935" s="5"/>
      <c r="AN935" s="5"/>
      <c r="AO935" s="5"/>
      <c r="AP935" s="5"/>
      <c r="AQ935" s="5"/>
      <c r="AR935" s="5"/>
      <c r="AS935" s="5"/>
      <c r="AT935" s="5"/>
      <c r="AU935" s="5"/>
    </row>
    <row r="936" ht="15.7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c r="AB936" s="5"/>
      <c r="AC936" s="5"/>
      <c r="AD936" s="5"/>
      <c r="AE936" s="5"/>
      <c r="AF936" s="5"/>
      <c r="AG936" s="5"/>
      <c r="AH936" s="5"/>
      <c r="AI936" s="5"/>
      <c r="AJ936" s="5"/>
      <c r="AK936" s="5"/>
      <c r="AL936" s="5"/>
      <c r="AM936" s="5"/>
      <c r="AN936" s="5"/>
      <c r="AO936" s="5"/>
      <c r="AP936" s="5"/>
      <c r="AQ936" s="5"/>
      <c r="AR936" s="5"/>
      <c r="AS936" s="5"/>
      <c r="AT936" s="5"/>
      <c r="AU936" s="5"/>
    </row>
    <row r="937" ht="15.7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c r="AB937" s="5"/>
      <c r="AC937" s="5"/>
      <c r="AD937" s="5"/>
      <c r="AE937" s="5"/>
      <c r="AF937" s="5"/>
      <c r="AG937" s="5"/>
      <c r="AH937" s="5"/>
      <c r="AI937" s="5"/>
      <c r="AJ937" s="5"/>
      <c r="AK937" s="5"/>
      <c r="AL937" s="5"/>
      <c r="AM937" s="5"/>
      <c r="AN937" s="5"/>
      <c r="AO937" s="5"/>
      <c r="AP937" s="5"/>
      <c r="AQ937" s="5"/>
      <c r="AR937" s="5"/>
      <c r="AS937" s="5"/>
      <c r="AT937" s="5"/>
      <c r="AU937" s="5"/>
    </row>
    <row r="938" ht="15.7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c r="AB938" s="5"/>
      <c r="AC938" s="5"/>
      <c r="AD938" s="5"/>
      <c r="AE938" s="5"/>
      <c r="AF938" s="5"/>
      <c r="AG938" s="5"/>
      <c r="AH938" s="5"/>
      <c r="AI938" s="5"/>
      <c r="AJ938" s="5"/>
      <c r="AK938" s="5"/>
      <c r="AL938" s="5"/>
      <c r="AM938" s="5"/>
      <c r="AN938" s="5"/>
      <c r="AO938" s="5"/>
      <c r="AP938" s="5"/>
      <c r="AQ938" s="5"/>
      <c r="AR938" s="5"/>
      <c r="AS938" s="5"/>
      <c r="AT938" s="5"/>
      <c r="AU938" s="5"/>
    </row>
    <row r="939" ht="15.7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c r="AB939" s="5"/>
      <c r="AC939" s="5"/>
      <c r="AD939" s="5"/>
      <c r="AE939" s="5"/>
      <c r="AF939" s="5"/>
      <c r="AG939" s="5"/>
      <c r="AH939" s="5"/>
      <c r="AI939" s="5"/>
      <c r="AJ939" s="5"/>
      <c r="AK939" s="5"/>
      <c r="AL939" s="5"/>
      <c r="AM939" s="5"/>
      <c r="AN939" s="5"/>
      <c r="AO939" s="5"/>
      <c r="AP939" s="5"/>
      <c r="AQ939" s="5"/>
      <c r="AR939" s="5"/>
      <c r="AS939" s="5"/>
      <c r="AT939" s="5"/>
      <c r="AU939" s="5"/>
    </row>
    <row r="940" ht="15.7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c r="AB940" s="5"/>
      <c r="AC940" s="5"/>
      <c r="AD940" s="5"/>
      <c r="AE940" s="5"/>
      <c r="AF940" s="5"/>
      <c r="AG940" s="5"/>
      <c r="AH940" s="5"/>
      <c r="AI940" s="5"/>
      <c r="AJ940" s="5"/>
      <c r="AK940" s="5"/>
      <c r="AL940" s="5"/>
      <c r="AM940" s="5"/>
      <c r="AN940" s="5"/>
      <c r="AO940" s="5"/>
      <c r="AP940" s="5"/>
      <c r="AQ940" s="5"/>
      <c r="AR940" s="5"/>
      <c r="AS940" s="5"/>
      <c r="AT940" s="5"/>
      <c r="AU940" s="5"/>
    </row>
    <row r="941" ht="15.7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c r="AB941" s="5"/>
      <c r="AC941" s="5"/>
      <c r="AD941" s="5"/>
      <c r="AE941" s="5"/>
      <c r="AF941" s="5"/>
      <c r="AG941" s="5"/>
      <c r="AH941" s="5"/>
      <c r="AI941" s="5"/>
      <c r="AJ941" s="5"/>
      <c r="AK941" s="5"/>
      <c r="AL941" s="5"/>
      <c r="AM941" s="5"/>
      <c r="AN941" s="5"/>
      <c r="AO941" s="5"/>
      <c r="AP941" s="5"/>
      <c r="AQ941" s="5"/>
      <c r="AR941" s="5"/>
      <c r="AS941" s="5"/>
      <c r="AT941" s="5"/>
      <c r="AU941" s="5"/>
    </row>
    <row r="942" ht="15.7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c r="AB942" s="5"/>
      <c r="AC942" s="5"/>
      <c r="AD942" s="5"/>
      <c r="AE942" s="5"/>
      <c r="AF942" s="5"/>
      <c r="AG942" s="5"/>
      <c r="AH942" s="5"/>
      <c r="AI942" s="5"/>
      <c r="AJ942" s="5"/>
      <c r="AK942" s="5"/>
      <c r="AL942" s="5"/>
      <c r="AM942" s="5"/>
      <c r="AN942" s="5"/>
      <c r="AO942" s="5"/>
      <c r="AP942" s="5"/>
      <c r="AQ942" s="5"/>
      <c r="AR942" s="5"/>
      <c r="AS942" s="5"/>
      <c r="AT942" s="5"/>
      <c r="AU942" s="5"/>
    </row>
    <row r="943" ht="15.7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c r="AB943" s="5"/>
      <c r="AC943" s="5"/>
      <c r="AD943" s="5"/>
      <c r="AE943" s="5"/>
      <c r="AF943" s="5"/>
      <c r="AG943" s="5"/>
      <c r="AH943" s="5"/>
      <c r="AI943" s="5"/>
      <c r="AJ943" s="5"/>
      <c r="AK943" s="5"/>
      <c r="AL943" s="5"/>
      <c r="AM943" s="5"/>
      <c r="AN943" s="5"/>
      <c r="AO943" s="5"/>
      <c r="AP943" s="5"/>
      <c r="AQ943" s="5"/>
      <c r="AR943" s="5"/>
      <c r="AS943" s="5"/>
      <c r="AT943" s="5"/>
      <c r="AU943" s="5"/>
    </row>
    <row r="944" ht="15.7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c r="AB944" s="5"/>
      <c r="AC944" s="5"/>
      <c r="AD944" s="5"/>
      <c r="AE944" s="5"/>
      <c r="AF944" s="5"/>
      <c r="AG944" s="5"/>
      <c r="AH944" s="5"/>
      <c r="AI944" s="5"/>
      <c r="AJ944" s="5"/>
      <c r="AK944" s="5"/>
      <c r="AL944" s="5"/>
      <c r="AM944" s="5"/>
      <c r="AN944" s="5"/>
      <c r="AO944" s="5"/>
      <c r="AP944" s="5"/>
      <c r="AQ944" s="5"/>
      <c r="AR944" s="5"/>
      <c r="AS944" s="5"/>
      <c r="AT944" s="5"/>
      <c r="AU944" s="5"/>
    </row>
    <row r="945" ht="15.7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c r="AB945" s="5"/>
      <c r="AC945" s="5"/>
      <c r="AD945" s="5"/>
      <c r="AE945" s="5"/>
      <c r="AF945" s="5"/>
      <c r="AG945" s="5"/>
      <c r="AH945" s="5"/>
      <c r="AI945" s="5"/>
      <c r="AJ945" s="5"/>
      <c r="AK945" s="5"/>
      <c r="AL945" s="5"/>
      <c r="AM945" s="5"/>
      <c r="AN945" s="5"/>
      <c r="AO945" s="5"/>
      <c r="AP945" s="5"/>
      <c r="AQ945" s="5"/>
      <c r="AR945" s="5"/>
      <c r="AS945" s="5"/>
      <c r="AT945" s="5"/>
      <c r="AU945" s="5"/>
    </row>
    <row r="946" ht="15.7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c r="AB946" s="5"/>
      <c r="AC946" s="5"/>
      <c r="AD946" s="5"/>
      <c r="AE946" s="5"/>
      <c r="AF946" s="5"/>
      <c r="AG946" s="5"/>
      <c r="AH946" s="5"/>
      <c r="AI946" s="5"/>
      <c r="AJ946" s="5"/>
      <c r="AK946" s="5"/>
      <c r="AL946" s="5"/>
      <c r="AM946" s="5"/>
      <c r="AN946" s="5"/>
      <c r="AO946" s="5"/>
      <c r="AP946" s="5"/>
      <c r="AQ946" s="5"/>
      <c r="AR946" s="5"/>
      <c r="AS946" s="5"/>
      <c r="AT946" s="5"/>
      <c r="AU946" s="5"/>
    </row>
    <row r="947" ht="15.7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c r="AB947" s="5"/>
      <c r="AC947" s="5"/>
      <c r="AD947" s="5"/>
      <c r="AE947" s="5"/>
      <c r="AF947" s="5"/>
      <c r="AG947" s="5"/>
      <c r="AH947" s="5"/>
      <c r="AI947" s="5"/>
      <c r="AJ947" s="5"/>
      <c r="AK947" s="5"/>
      <c r="AL947" s="5"/>
      <c r="AM947" s="5"/>
      <c r="AN947" s="5"/>
      <c r="AO947" s="5"/>
      <c r="AP947" s="5"/>
      <c r="AQ947" s="5"/>
      <c r="AR947" s="5"/>
      <c r="AS947" s="5"/>
      <c r="AT947" s="5"/>
      <c r="AU947" s="5"/>
    </row>
    <row r="948" ht="15.7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c r="AB948" s="5"/>
      <c r="AC948" s="5"/>
      <c r="AD948" s="5"/>
      <c r="AE948" s="5"/>
      <c r="AF948" s="5"/>
      <c r="AG948" s="5"/>
      <c r="AH948" s="5"/>
      <c r="AI948" s="5"/>
      <c r="AJ948" s="5"/>
      <c r="AK948" s="5"/>
      <c r="AL948" s="5"/>
      <c r="AM948" s="5"/>
      <c r="AN948" s="5"/>
      <c r="AO948" s="5"/>
      <c r="AP948" s="5"/>
      <c r="AQ948" s="5"/>
      <c r="AR948" s="5"/>
      <c r="AS948" s="5"/>
      <c r="AT948" s="5"/>
      <c r="AU948" s="5"/>
    </row>
    <row r="949" ht="15.7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c r="AB949" s="5"/>
      <c r="AC949" s="5"/>
      <c r="AD949" s="5"/>
      <c r="AE949" s="5"/>
      <c r="AF949" s="5"/>
      <c r="AG949" s="5"/>
      <c r="AH949" s="5"/>
      <c r="AI949" s="5"/>
      <c r="AJ949" s="5"/>
      <c r="AK949" s="5"/>
      <c r="AL949" s="5"/>
      <c r="AM949" s="5"/>
      <c r="AN949" s="5"/>
      <c r="AO949" s="5"/>
      <c r="AP949" s="5"/>
      <c r="AQ949" s="5"/>
      <c r="AR949" s="5"/>
      <c r="AS949" s="5"/>
      <c r="AT949" s="5"/>
      <c r="AU949" s="5"/>
    </row>
    <row r="950" ht="15.7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c r="AB950" s="5"/>
      <c r="AC950" s="5"/>
      <c r="AD950" s="5"/>
      <c r="AE950" s="5"/>
      <c r="AF950" s="5"/>
      <c r="AG950" s="5"/>
      <c r="AH950" s="5"/>
      <c r="AI950" s="5"/>
      <c r="AJ950" s="5"/>
      <c r="AK950" s="5"/>
      <c r="AL950" s="5"/>
      <c r="AM950" s="5"/>
      <c r="AN950" s="5"/>
      <c r="AO950" s="5"/>
      <c r="AP950" s="5"/>
      <c r="AQ950" s="5"/>
      <c r="AR950" s="5"/>
      <c r="AS950" s="5"/>
      <c r="AT950" s="5"/>
      <c r="AU950" s="5"/>
    </row>
    <row r="951" ht="15.7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c r="AB951" s="5"/>
      <c r="AC951" s="5"/>
      <c r="AD951" s="5"/>
      <c r="AE951" s="5"/>
      <c r="AF951" s="5"/>
      <c r="AG951" s="5"/>
      <c r="AH951" s="5"/>
      <c r="AI951" s="5"/>
      <c r="AJ951" s="5"/>
      <c r="AK951" s="5"/>
      <c r="AL951" s="5"/>
      <c r="AM951" s="5"/>
      <c r="AN951" s="5"/>
      <c r="AO951" s="5"/>
      <c r="AP951" s="5"/>
      <c r="AQ951" s="5"/>
      <c r="AR951" s="5"/>
      <c r="AS951" s="5"/>
      <c r="AT951" s="5"/>
      <c r="AU951" s="5"/>
    </row>
    <row r="952" ht="15.7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c r="AB952" s="5"/>
      <c r="AC952" s="5"/>
      <c r="AD952" s="5"/>
      <c r="AE952" s="5"/>
      <c r="AF952" s="5"/>
      <c r="AG952" s="5"/>
      <c r="AH952" s="5"/>
      <c r="AI952" s="5"/>
      <c r="AJ952" s="5"/>
      <c r="AK952" s="5"/>
      <c r="AL952" s="5"/>
      <c r="AM952" s="5"/>
      <c r="AN952" s="5"/>
      <c r="AO952" s="5"/>
      <c r="AP952" s="5"/>
      <c r="AQ952" s="5"/>
      <c r="AR952" s="5"/>
      <c r="AS952" s="5"/>
      <c r="AT952" s="5"/>
      <c r="AU952" s="5"/>
    </row>
    <row r="953" ht="15.7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c r="AB953" s="5"/>
      <c r="AC953" s="5"/>
      <c r="AD953" s="5"/>
      <c r="AE953" s="5"/>
      <c r="AF953" s="5"/>
      <c r="AG953" s="5"/>
      <c r="AH953" s="5"/>
      <c r="AI953" s="5"/>
      <c r="AJ953" s="5"/>
      <c r="AK953" s="5"/>
      <c r="AL953" s="5"/>
      <c r="AM953" s="5"/>
      <c r="AN953" s="5"/>
      <c r="AO953" s="5"/>
      <c r="AP953" s="5"/>
      <c r="AQ953" s="5"/>
      <c r="AR953" s="5"/>
      <c r="AS953" s="5"/>
      <c r="AT953" s="5"/>
      <c r="AU953" s="5"/>
    </row>
    <row r="954" ht="15.7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c r="AB954" s="5"/>
      <c r="AC954" s="5"/>
      <c r="AD954" s="5"/>
      <c r="AE954" s="5"/>
      <c r="AF954" s="5"/>
      <c r="AG954" s="5"/>
      <c r="AH954" s="5"/>
      <c r="AI954" s="5"/>
      <c r="AJ954" s="5"/>
      <c r="AK954" s="5"/>
      <c r="AL954" s="5"/>
      <c r="AM954" s="5"/>
      <c r="AN954" s="5"/>
      <c r="AO954" s="5"/>
      <c r="AP954" s="5"/>
      <c r="AQ954" s="5"/>
      <c r="AR954" s="5"/>
      <c r="AS954" s="5"/>
      <c r="AT954" s="5"/>
      <c r="AU954" s="5"/>
    </row>
    <row r="955" ht="15.7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c r="AB955" s="5"/>
      <c r="AC955" s="5"/>
      <c r="AD955" s="5"/>
      <c r="AE955" s="5"/>
      <c r="AF955" s="5"/>
      <c r="AG955" s="5"/>
      <c r="AH955" s="5"/>
      <c r="AI955" s="5"/>
      <c r="AJ955" s="5"/>
      <c r="AK955" s="5"/>
      <c r="AL955" s="5"/>
      <c r="AM955" s="5"/>
      <c r="AN955" s="5"/>
      <c r="AO955" s="5"/>
      <c r="AP955" s="5"/>
      <c r="AQ955" s="5"/>
      <c r="AR955" s="5"/>
      <c r="AS955" s="5"/>
      <c r="AT955" s="5"/>
      <c r="AU955" s="5"/>
    </row>
    <row r="956" ht="15.7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c r="AB956" s="5"/>
      <c r="AC956" s="5"/>
      <c r="AD956" s="5"/>
      <c r="AE956" s="5"/>
      <c r="AF956" s="5"/>
      <c r="AG956" s="5"/>
      <c r="AH956" s="5"/>
      <c r="AI956" s="5"/>
      <c r="AJ956" s="5"/>
      <c r="AK956" s="5"/>
      <c r="AL956" s="5"/>
      <c r="AM956" s="5"/>
      <c r="AN956" s="5"/>
      <c r="AO956" s="5"/>
      <c r="AP956" s="5"/>
      <c r="AQ956" s="5"/>
      <c r="AR956" s="5"/>
      <c r="AS956" s="5"/>
      <c r="AT956" s="5"/>
      <c r="AU956" s="5"/>
    </row>
    <row r="957" ht="15.7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c r="AB957" s="5"/>
      <c r="AC957" s="5"/>
      <c r="AD957" s="5"/>
      <c r="AE957" s="5"/>
      <c r="AF957" s="5"/>
      <c r="AG957" s="5"/>
      <c r="AH957" s="5"/>
      <c r="AI957" s="5"/>
      <c r="AJ957" s="5"/>
      <c r="AK957" s="5"/>
      <c r="AL957" s="5"/>
      <c r="AM957" s="5"/>
      <c r="AN957" s="5"/>
      <c r="AO957" s="5"/>
      <c r="AP957" s="5"/>
      <c r="AQ957" s="5"/>
      <c r="AR957" s="5"/>
      <c r="AS957" s="5"/>
      <c r="AT957" s="5"/>
      <c r="AU957" s="5"/>
    </row>
    <row r="958" ht="15.7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c r="AB958" s="5"/>
      <c r="AC958" s="5"/>
      <c r="AD958" s="5"/>
      <c r="AE958" s="5"/>
      <c r="AF958" s="5"/>
      <c r="AG958" s="5"/>
      <c r="AH958" s="5"/>
      <c r="AI958" s="5"/>
      <c r="AJ958" s="5"/>
      <c r="AK958" s="5"/>
      <c r="AL958" s="5"/>
      <c r="AM958" s="5"/>
      <c r="AN958" s="5"/>
      <c r="AO958" s="5"/>
      <c r="AP958" s="5"/>
      <c r="AQ958" s="5"/>
      <c r="AR958" s="5"/>
      <c r="AS958" s="5"/>
      <c r="AT958" s="5"/>
      <c r="AU958" s="5"/>
    </row>
    <row r="959" ht="15.7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c r="AB959" s="5"/>
      <c r="AC959" s="5"/>
      <c r="AD959" s="5"/>
      <c r="AE959" s="5"/>
      <c r="AF959" s="5"/>
      <c r="AG959" s="5"/>
      <c r="AH959" s="5"/>
      <c r="AI959" s="5"/>
      <c r="AJ959" s="5"/>
      <c r="AK959" s="5"/>
      <c r="AL959" s="5"/>
      <c r="AM959" s="5"/>
      <c r="AN959" s="5"/>
      <c r="AO959" s="5"/>
      <c r="AP959" s="5"/>
      <c r="AQ959" s="5"/>
      <c r="AR959" s="5"/>
      <c r="AS959" s="5"/>
      <c r="AT959" s="5"/>
      <c r="AU959" s="5"/>
    </row>
    <row r="960" ht="15.7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c r="AB960" s="5"/>
      <c r="AC960" s="5"/>
      <c r="AD960" s="5"/>
      <c r="AE960" s="5"/>
      <c r="AF960" s="5"/>
      <c r="AG960" s="5"/>
      <c r="AH960" s="5"/>
      <c r="AI960" s="5"/>
      <c r="AJ960" s="5"/>
      <c r="AK960" s="5"/>
      <c r="AL960" s="5"/>
      <c r="AM960" s="5"/>
      <c r="AN960" s="5"/>
      <c r="AO960" s="5"/>
      <c r="AP960" s="5"/>
      <c r="AQ960" s="5"/>
      <c r="AR960" s="5"/>
      <c r="AS960" s="5"/>
      <c r="AT960" s="5"/>
      <c r="AU960" s="5"/>
    </row>
    <row r="961" ht="15.7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c r="AB961" s="5"/>
      <c r="AC961" s="5"/>
      <c r="AD961" s="5"/>
      <c r="AE961" s="5"/>
      <c r="AF961" s="5"/>
      <c r="AG961" s="5"/>
      <c r="AH961" s="5"/>
      <c r="AI961" s="5"/>
      <c r="AJ961" s="5"/>
      <c r="AK961" s="5"/>
      <c r="AL961" s="5"/>
      <c r="AM961" s="5"/>
      <c r="AN961" s="5"/>
      <c r="AO961" s="5"/>
      <c r="AP961" s="5"/>
      <c r="AQ961" s="5"/>
      <c r="AR961" s="5"/>
      <c r="AS961" s="5"/>
      <c r="AT961" s="5"/>
      <c r="AU961" s="5"/>
    </row>
    <row r="962" ht="15.7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c r="AB962" s="5"/>
      <c r="AC962" s="5"/>
      <c r="AD962" s="5"/>
      <c r="AE962" s="5"/>
      <c r="AF962" s="5"/>
      <c r="AG962" s="5"/>
      <c r="AH962" s="5"/>
      <c r="AI962" s="5"/>
      <c r="AJ962" s="5"/>
      <c r="AK962" s="5"/>
      <c r="AL962" s="5"/>
      <c r="AM962" s="5"/>
      <c r="AN962" s="5"/>
      <c r="AO962" s="5"/>
      <c r="AP962" s="5"/>
      <c r="AQ962" s="5"/>
      <c r="AR962" s="5"/>
      <c r="AS962" s="5"/>
      <c r="AT962" s="5"/>
      <c r="AU962" s="5"/>
    </row>
    <row r="963" ht="15.7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c r="AB963" s="5"/>
      <c r="AC963" s="5"/>
      <c r="AD963" s="5"/>
      <c r="AE963" s="5"/>
      <c r="AF963" s="5"/>
      <c r="AG963" s="5"/>
      <c r="AH963" s="5"/>
      <c r="AI963" s="5"/>
      <c r="AJ963" s="5"/>
      <c r="AK963" s="5"/>
      <c r="AL963" s="5"/>
      <c r="AM963" s="5"/>
      <c r="AN963" s="5"/>
      <c r="AO963" s="5"/>
      <c r="AP963" s="5"/>
      <c r="AQ963" s="5"/>
      <c r="AR963" s="5"/>
      <c r="AS963" s="5"/>
      <c r="AT963" s="5"/>
      <c r="AU963" s="5"/>
    </row>
    <row r="964" ht="15.7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c r="AB964" s="5"/>
      <c r="AC964" s="5"/>
      <c r="AD964" s="5"/>
      <c r="AE964" s="5"/>
      <c r="AF964" s="5"/>
      <c r="AG964" s="5"/>
      <c r="AH964" s="5"/>
      <c r="AI964" s="5"/>
      <c r="AJ964" s="5"/>
      <c r="AK964" s="5"/>
      <c r="AL964" s="5"/>
      <c r="AM964" s="5"/>
      <c r="AN964" s="5"/>
      <c r="AO964" s="5"/>
      <c r="AP964" s="5"/>
      <c r="AQ964" s="5"/>
      <c r="AR964" s="5"/>
      <c r="AS964" s="5"/>
      <c r="AT964" s="5"/>
      <c r="AU964" s="5"/>
    </row>
    <row r="965" ht="15.7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c r="AB965" s="5"/>
      <c r="AC965" s="5"/>
      <c r="AD965" s="5"/>
      <c r="AE965" s="5"/>
      <c r="AF965" s="5"/>
      <c r="AG965" s="5"/>
      <c r="AH965" s="5"/>
      <c r="AI965" s="5"/>
      <c r="AJ965" s="5"/>
      <c r="AK965" s="5"/>
      <c r="AL965" s="5"/>
      <c r="AM965" s="5"/>
      <c r="AN965" s="5"/>
      <c r="AO965" s="5"/>
      <c r="AP965" s="5"/>
      <c r="AQ965" s="5"/>
      <c r="AR965" s="5"/>
      <c r="AS965" s="5"/>
      <c r="AT965" s="5"/>
      <c r="AU965" s="5"/>
    </row>
    <row r="966" ht="15.7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c r="AB966" s="5"/>
      <c r="AC966" s="5"/>
      <c r="AD966" s="5"/>
      <c r="AE966" s="5"/>
      <c r="AF966" s="5"/>
      <c r="AG966" s="5"/>
      <c r="AH966" s="5"/>
      <c r="AI966" s="5"/>
      <c r="AJ966" s="5"/>
      <c r="AK966" s="5"/>
      <c r="AL966" s="5"/>
      <c r="AM966" s="5"/>
      <c r="AN966" s="5"/>
      <c r="AO966" s="5"/>
      <c r="AP966" s="5"/>
      <c r="AQ966" s="5"/>
      <c r="AR966" s="5"/>
      <c r="AS966" s="5"/>
      <c r="AT966" s="5"/>
      <c r="AU966" s="5"/>
    </row>
    <row r="967" ht="15.7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c r="AB967" s="5"/>
      <c r="AC967" s="5"/>
      <c r="AD967" s="5"/>
      <c r="AE967" s="5"/>
      <c r="AF967" s="5"/>
      <c r="AG967" s="5"/>
      <c r="AH967" s="5"/>
      <c r="AI967" s="5"/>
      <c r="AJ967" s="5"/>
      <c r="AK967" s="5"/>
      <c r="AL967" s="5"/>
      <c r="AM967" s="5"/>
      <c r="AN967" s="5"/>
      <c r="AO967" s="5"/>
      <c r="AP967" s="5"/>
      <c r="AQ967" s="5"/>
      <c r="AR967" s="5"/>
      <c r="AS967" s="5"/>
      <c r="AT967" s="5"/>
      <c r="AU967" s="5"/>
    </row>
    <row r="968" ht="15.7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c r="AB968" s="5"/>
      <c r="AC968" s="5"/>
      <c r="AD968" s="5"/>
      <c r="AE968" s="5"/>
      <c r="AF968" s="5"/>
      <c r="AG968" s="5"/>
      <c r="AH968" s="5"/>
      <c r="AI968" s="5"/>
      <c r="AJ968" s="5"/>
      <c r="AK968" s="5"/>
      <c r="AL968" s="5"/>
      <c r="AM968" s="5"/>
      <c r="AN968" s="5"/>
      <c r="AO968" s="5"/>
      <c r="AP968" s="5"/>
      <c r="AQ968" s="5"/>
      <c r="AR968" s="5"/>
      <c r="AS968" s="5"/>
      <c r="AT968" s="5"/>
      <c r="AU968" s="5"/>
    </row>
    <row r="969" ht="15.7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c r="AB969" s="5"/>
      <c r="AC969" s="5"/>
      <c r="AD969" s="5"/>
      <c r="AE969" s="5"/>
      <c r="AF969" s="5"/>
      <c r="AG969" s="5"/>
      <c r="AH969" s="5"/>
      <c r="AI969" s="5"/>
      <c r="AJ969" s="5"/>
      <c r="AK969" s="5"/>
      <c r="AL969" s="5"/>
      <c r="AM969" s="5"/>
      <c r="AN969" s="5"/>
      <c r="AO969" s="5"/>
      <c r="AP969" s="5"/>
      <c r="AQ969" s="5"/>
      <c r="AR969" s="5"/>
      <c r="AS969" s="5"/>
      <c r="AT969" s="5"/>
      <c r="AU969" s="5"/>
    </row>
    <row r="970" ht="15.7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c r="AB970" s="5"/>
      <c r="AC970" s="5"/>
      <c r="AD970" s="5"/>
      <c r="AE970" s="5"/>
      <c r="AF970" s="5"/>
      <c r="AG970" s="5"/>
      <c r="AH970" s="5"/>
      <c r="AI970" s="5"/>
      <c r="AJ970" s="5"/>
      <c r="AK970" s="5"/>
      <c r="AL970" s="5"/>
      <c r="AM970" s="5"/>
      <c r="AN970" s="5"/>
      <c r="AO970" s="5"/>
      <c r="AP970" s="5"/>
      <c r="AQ970" s="5"/>
      <c r="AR970" s="5"/>
      <c r="AS970" s="5"/>
      <c r="AT970" s="5"/>
      <c r="AU970" s="5"/>
    </row>
    <row r="971" ht="15.7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c r="AB971" s="5"/>
      <c r="AC971" s="5"/>
      <c r="AD971" s="5"/>
      <c r="AE971" s="5"/>
      <c r="AF971" s="5"/>
      <c r="AG971" s="5"/>
      <c r="AH971" s="5"/>
      <c r="AI971" s="5"/>
      <c r="AJ971" s="5"/>
      <c r="AK971" s="5"/>
      <c r="AL971" s="5"/>
      <c r="AM971" s="5"/>
      <c r="AN971" s="5"/>
      <c r="AO971" s="5"/>
      <c r="AP971" s="5"/>
      <c r="AQ971" s="5"/>
      <c r="AR971" s="5"/>
      <c r="AS971" s="5"/>
      <c r="AT971" s="5"/>
      <c r="AU971" s="5"/>
    </row>
    <row r="972" ht="15.7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c r="AB972" s="5"/>
      <c r="AC972" s="5"/>
      <c r="AD972" s="5"/>
      <c r="AE972" s="5"/>
      <c r="AF972" s="5"/>
      <c r="AG972" s="5"/>
      <c r="AH972" s="5"/>
      <c r="AI972" s="5"/>
      <c r="AJ972" s="5"/>
      <c r="AK972" s="5"/>
      <c r="AL972" s="5"/>
      <c r="AM972" s="5"/>
      <c r="AN972" s="5"/>
      <c r="AO972" s="5"/>
      <c r="AP972" s="5"/>
      <c r="AQ972" s="5"/>
      <c r="AR972" s="5"/>
      <c r="AS972" s="5"/>
      <c r="AT972" s="5"/>
      <c r="AU972" s="5"/>
    </row>
    <row r="973" ht="15.7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c r="AB973" s="5"/>
      <c r="AC973" s="5"/>
      <c r="AD973" s="5"/>
      <c r="AE973" s="5"/>
      <c r="AF973" s="5"/>
      <c r="AG973" s="5"/>
      <c r="AH973" s="5"/>
      <c r="AI973" s="5"/>
      <c r="AJ973" s="5"/>
      <c r="AK973" s="5"/>
      <c r="AL973" s="5"/>
      <c r="AM973" s="5"/>
      <c r="AN973" s="5"/>
      <c r="AO973" s="5"/>
      <c r="AP973" s="5"/>
      <c r="AQ973" s="5"/>
      <c r="AR973" s="5"/>
      <c r="AS973" s="5"/>
      <c r="AT973" s="5"/>
      <c r="AU973" s="5"/>
    </row>
    <row r="974" ht="15.7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c r="AB974" s="5"/>
      <c r="AC974" s="5"/>
      <c r="AD974" s="5"/>
      <c r="AE974" s="5"/>
      <c r="AF974" s="5"/>
      <c r="AG974" s="5"/>
      <c r="AH974" s="5"/>
      <c r="AI974" s="5"/>
      <c r="AJ974" s="5"/>
      <c r="AK974" s="5"/>
      <c r="AL974" s="5"/>
      <c r="AM974" s="5"/>
      <c r="AN974" s="5"/>
      <c r="AO974" s="5"/>
      <c r="AP974" s="5"/>
      <c r="AQ974" s="5"/>
      <c r="AR974" s="5"/>
      <c r="AS974" s="5"/>
      <c r="AT974" s="5"/>
      <c r="AU974" s="5"/>
    </row>
    <row r="975" ht="15.7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c r="AB975" s="5"/>
      <c r="AC975" s="5"/>
      <c r="AD975" s="5"/>
      <c r="AE975" s="5"/>
      <c r="AF975" s="5"/>
      <c r="AG975" s="5"/>
      <c r="AH975" s="5"/>
      <c r="AI975" s="5"/>
      <c r="AJ975" s="5"/>
      <c r="AK975" s="5"/>
      <c r="AL975" s="5"/>
      <c r="AM975" s="5"/>
      <c r="AN975" s="5"/>
      <c r="AO975" s="5"/>
      <c r="AP975" s="5"/>
      <c r="AQ975" s="5"/>
      <c r="AR975" s="5"/>
      <c r="AS975" s="5"/>
      <c r="AT975" s="5"/>
      <c r="AU975" s="5"/>
    </row>
    <row r="976" ht="15.7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c r="AB976" s="5"/>
      <c r="AC976" s="5"/>
      <c r="AD976" s="5"/>
      <c r="AE976" s="5"/>
      <c r="AF976" s="5"/>
      <c r="AG976" s="5"/>
      <c r="AH976" s="5"/>
      <c r="AI976" s="5"/>
      <c r="AJ976" s="5"/>
      <c r="AK976" s="5"/>
      <c r="AL976" s="5"/>
      <c r="AM976" s="5"/>
      <c r="AN976" s="5"/>
      <c r="AO976" s="5"/>
      <c r="AP976" s="5"/>
      <c r="AQ976" s="5"/>
      <c r="AR976" s="5"/>
      <c r="AS976" s="5"/>
      <c r="AT976" s="5"/>
      <c r="AU976" s="5"/>
    </row>
    <row r="977" ht="15.7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c r="AB977" s="5"/>
      <c r="AC977" s="5"/>
      <c r="AD977" s="5"/>
      <c r="AE977" s="5"/>
      <c r="AF977" s="5"/>
      <c r="AG977" s="5"/>
      <c r="AH977" s="5"/>
      <c r="AI977" s="5"/>
      <c r="AJ977" s="5"/>
      <c r="AK977" s="5"/>
      <c r="AL977" s="5"/>
      <c r="AM977" s="5"/>
      <c r="AN977" s="5"/>
      <c r="AO977" s="5"/>
      <c r="AP977" s="5"/>
      <c r="AQ977" s="5"/>
      <c r="AR977" s="5"/>
      <c r="AS977" s="5"/>
      <c r="AT977" s="5"/>
      <c r="AU977" s="5"/>
    </row>
    <row r="978" ht="15.7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c r="AB978" s="5"/>
      <c r="AC978" s="5"/>
      <c r="AD978" s="5"/>
      <c r="AE978" s="5"/>
      <c r="AF978" s="5"/>
      <c r="AG978" s="5"/>
      <c r="AH978" s="5"/>
      <c r="AI978" s="5"/>
      <c r="AJ978" s="5"/>
      <c r="AK978" s="5"/>
      <c r="AL978" s="5"/>
      <c r="AM978" s="5"/>
      <c r="AN978" s="5"/>
      <c r="AO978" s="5"/>
      <c r="AP978" s="5"/>
      <c r="AQ978" s="5"/>
      <c r="AR978" s="5"/>
      <c r="AS978" s="5"/>
      <c r="AT978" s="5"/>
      <c r="AU978" s="5"/>
    </row>
    <row r="979" ht="15.7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c r="AB979" s="5"/>
      <c r="AC979" s="5"/>
      <c r="AD979" s="5"/>
      <c r="AE979" s="5"/>
      <c r="AF979" s="5"/>
      <c r="AG979" s="5"/>
      <c r="AH979" s="5"/>
      <c r="AI979" s="5"/>
      <c r="AJ979" s="5"/>
      <c r="AK979" s="5"/>
      <c r="AL979" s="5"/>
      <c r="AM979" s="5"/>
      <c r="AN979" s="5"/>
      <c r="AO979" s="5"/>
      <c r="AP979" s="5"/>
      <c r="AQ979" s="5"/>
      <c r="AR979" s="5"/>
      <c r="AS979" s="5"/>
      <c r="AT979" s="5"/>
      <c r="AU979" s="5"/>
    </row>
    <row r="980" ht="15.7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c r="AB980" s="5"/>
      <c r="AC980" s="5"/>
      <c r="AD980" s="5"/>
      <c r="AE980" s="5"/>
      <c r="AF980" s="5"/>
      <c r="AG980" s="5"/>
      <c r="AH980" s="5"/>
      <c r="AI980" s="5"/>
      <c r="AJ980" s="5"/>
      <c r="AK980" s="5"/>
      <c r="AL980" s="5"/>
      <c r="AM980" s="5"/>
      <c r="AN980" s="5"/>
      <c r="AO980" s="5"/>
      <c r="AP980" s="5"/>
      <c r="AQ980" s="5"/>
      <c r="AR980" s="5"/>
      <c r="AS980" s="5"/>
      <c r="AT980" s="5"/>
      <c r="AU980" s="5"/>
    </row>
    <row r="981" ht="15.7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c r="AB981" s="5"/>
      <c r="AC981" s="5"/>
      <c r="AD981" s="5"/>
      <c r="AE981" s="5"/>
      <c r="AF981" s="5"/>
      <c r="AG981" s="5"/>
      <c r="AH981" s="5"/>
      <c r="AI981" s="5"/>
      <c r="AJ981" s="5"/>
      <c r="AK981" s="5"/>
      <c r="AL981" s="5"/>
      <c r="AM981" s="5"/>
      <c r="AN981" s="5"/>
      <c r="AO981" s="5"/>
      <c r="AP981" s="5"/>
      <c r="AQ981" s="5"/>
      <c r="AR981" s="5"/>
      <c r="AS981" s="5"/>
      <c r="AT981" s="5"/>
      <c r="AU981" s="5"/>
    </row>
    <row r="982" ht="15.7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c r="AB982" s="5"/>
      <c r="AC982" s="5"/>
      <c r="AD982" s="5"/>
      <c r="AE982" s="5"/>
      <c r="AF982" s="5"/>
      <c r="AG982" s="5"/>
      <c r="AH982" s="5"/>
      <c r="AI982" s="5"/>
      <c r="AJ982" s="5"/>
      <c r="AK982" s="5"/>
      <c r="AL982" s="5"/>
      <c r="AM982" s="5"/>
      <c r="AN982" s="5"/>
      <c r="AO982" s="5"/>
      <c r="AP982" s="5"/>
      <c r="AQ982" s="5"/>
      <c r="AR982" s="5"/>
      <c r="AS982" s="5"/>
      <c r="AT982" s="5"/>
      <c r="AU982" s="5"/>
    </row>
    <row r="983" ht="15.7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c r="AB983" s="5"/>
      <c r="AC983" s="5"/>
      <c r="AD983" s="5"/>
      <c r="AE983" s="5"/>
      <c r="AF983" s="5"/>
      <c r="AG983" s="5"/>
      <c r="AH983" s="5"/>
      <c r="AI983" s="5"/>
      <c r="AJ983" s="5"/>
      <c r="AK983" s="5"/>
      <c r="AL983" s="5"/>
      <c r="AM983" s="5"/>
      <c r="AN983" s="5"/>
      <c r="AO983" s="5"/>
      <c r="AP983" s="5"/>
      <c r="AQ983" s="5"/>
      <c r="AR983" s="5"/>
      <c r="AS983" s="5"/>
      <c r="AT983" s="5"/>
      <c r="AU983" s="5"/>
    </row>
    <row r="984" ht="15.7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c r="AB984" s="5"/>
      <c r="AC984" s="5"/>
      <c r="AD984" s="5"/>
      <c r="AE984" s="5"/>
      <c r="AF984" s="5"/>
      <c r="AG984" s="5"/>
      <c r="AH984" s="5"/>
      <c r="AI984" s="5"/>
      <c r="AJ984" s="5"/>
      <c r="AK984" s="5"/>
      <c r="AL984" s="5"/>
      <c r="AM984" s="5"/>
      <c r="AN984" s="5"/>
      <c r="AO984" s="5"/>
      <c r="AP984" s="5"/>
      <c r="AQ984" s="5"/>
      <c r="AR984" s="5"/>
      <c r="AS984" s="5"/>
      <c r="AT984" s="5"/>
      <c r="AU984" s="5"/>
    </row>
    <row r="985" ht="15.7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c r="AB985" s="5"/>
      <c r="AC985" s="5"/>
      <c r="AD985" s="5"/>
      <c r="AE985" s="5"/>
      <c r="AF985" s="5"/>
      <c r="AG985" s="5"/>
      <c r="AH985" s="5"/>
      <c r="AI985" s="5"/>
      <c r="AJ985" s="5"/>
      <c r="AK985" s="5"/>
      <c r="AL985" s="5"/>
      <c r="AM985" s="5"/>
      <c r="AN985" s="5"/>
      <c r="AO985" s="5"/>
      <c r="AP985" s="5"/>
      <c r="AQ985" s="5"/>
      <c r="AR985" s="5"/>
      <c r="AS985" s="5"/>
      <c r="AT985" s="5"/>
      <c r="AU985" s="5"/>
    </row>
    <row r="986" ht="15.7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c r="AB986" s="5"/>
      <c r="AC986" s="5"/>
      <c r="AD986" s="5"/>
      <c r="AE986" s="5"/>
      <c r="AF986" s="5"/>
      <c r="AG986" s="5"/>
      <c r="AH986" s="5"/>
      <c r="AI986" s="5"/>
      <c r="AJ986" s="5"/>
      <c r="AK986" s="5"/>
      <c r="AL986" s="5"/>
      <c r="AM986" s="5"/>
      <c r="AN986" s="5"/>
      <c r="AO986" s="5"/>
      <c r="AP986" s="5"/>
      <c r="AQ986" s="5"/>
      <c r="AR986" s="5"/>
      <c r="AS986" s="5"/>
      <c r="AT986" s="5"/>
      <c r="AU986" s="5"/>
    </row>
    <row r="987" ht="15.75"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c r="AB987" s="5"/>
      <c r="AC987" s="5"/>
      <c r="AD987" s="5"/>
      <c r="AE987" s="5"/>
      <c r="AF987" s="5"/>
      <c r="AG987" s="5"/>
      <c r="AH987" s="5"/>
      <c r="AI987" s="5"/>
      <c r="AJ987" s="5"/>
      <c r="AK987" s="5"/>
      <c r="AL987" s="5"/>
      <c r="AM987" s="5"/>
      <c r="AN987" s="5"/>
      <c r="AO987" s="5"/>
      <c r="AP987" s="5"/>
      <c r="AQ987" s="5"/>
      <c r="AR987" s="5"/>
      <c r="AS987" s="5"/>
      <c r="AT987" s="5"/>
      <c r="AU987" s="5"/>
    </row>
    <row r="988" ht="15.75"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c r="AB988" s="5"/>
      <c r="AC988" s="5"/>
      <c r="AD988" s="5"/>
      <c r="AE988" s="5"/>
      <c r="AF988" s="5"/>
      <c r="AG988" s="5"/>
      <c r="AH988" s="5"/>
      <c r="AI988" s="5"/>
      <c r="AJ988" s="5"/>
      <c r="AK988" s="5"/>
      <c r="AL988" s="5"/>
      <c r="AM988" s="5"/>
      <c r="AN988" s="5"/>
      <c r="AO988" s="5"/>
      <c r="AP988" s="5"/>
      <c r="AQ988" s="5"/>
      <c r="AR988" s="5"/>
      <c r="AS988" s="5"/>
      <c r="AT988" s="5"/>
      <c r="AU988" s="5"/>
    </row>
    <row r="989" ht="15.75"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c r="AB989" s="5"/>
      <c r="AC989" s="5"/>
      <c r="AD989" s="5"/>
      <c r="AE989" s="5"/>
      <c r="AF989" s="5"/>
      <c r="AG989" s="5"/>
      <c r="AH989" s="5"/>
      <c r="AI989" s="5"/>
      <c r="AJ989" s="5"/>
      <c r="AK989" s="5"/>
      <c r="AL989" s="5"/>
      <c r="AM989" s="5"/>
      <c r="AN989" s="5"/>
      <c r="AO989" s="5"/>
      <c r="AP989" s="5"/>
      <c r="AQ989" s="5"/>
      <c r="AR989" s="5"/>
      <c r="AS989" s="5"/>
      <c r="AT989" s="5"/>
      <c r="AU989" s="5"/>
    </row>
    <row r="990" ht="15.75" customHeight="1">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c r="AB990" s="5"/>
      <c r="AC990" s="5"/>
      <c r="AD990" s="5"/>
      <c r="AE990" s="5"/>
      <c r="AF990" s="5"/>
      <c r="AG990" s="5"/>
      <c r="AH990" s="5"/>
      <c r="AI990" s="5"/>
      <c r="AJ990" s="5"/>
      <c r="AK990" s="5"/>
      <c r="AL990" s="5"/>
      <c r="AM990" s="5"/>
      <c r="AN990" s="5"/>
      <c r="AO990" s="5"/>
      <c r="AP990" s="5"/>
      <c r="AQ990" s="5"/>
      <c r="AR990" s="5"/>
      <c r="AS990" s="5"/>
      <c r="AT990" s="5"/>
      <c r="AU990" s="5"/>
    </row>
    <row r="991" ht="15.75" customHeight="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c r="AB991" s="5"/>
      <c r="AC991" s="5"/>
      <c r="AD991" s="5"/>
      <c r="AE991" s="5"/>
      <c r="AF991" s="5"/>
      <c r="AG991" s="5"/>
      <c r="AH991" s="5"/>
      <c r="AI991" s="5"/>
      <c r="AJ991" s="5"/>
      <c r="AK991" s="5"/>
      <c r="AL991" s="5"/>
      <c r="AM991" s="5"/>
      <c r="AN991" s="5"/>
      <c r="AO991" s="5"/>
      <c r="AP991" s="5"/>
      <c r="AQ991" s="5"/>
      <c r="AR991" s="5"/>
      <c r="AS991" s="5"/>
      <c r="AT991" s="5"/>
      <c r="AU991" s="5"/>
    </row>
    <row r="992" ht="15.75" customHeight="1">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c r="AB992" s="5"/>
      <c r="AC992" s="5"/>
      <c r="AD992" s="5"/>
      <c r="AE992" s="5"/>
      <c r="AF992" s="5"/>
      <c r="AG992" s="5"/>
      <c r="AH992" s="5"/>
      <c r="AI992" s="5"/>
      <c r="AJ992" s="5"/>
      <c r="AK992" s="5"/>
      <c r="AL992" s="5"/>
      <c r="AM992" s="5"/>
      <c r="AN992" s="5"/>
      <c r="AO992" s="5"/>
      <c r="AP992" s="5"/>
      <c r="AQ992" s="5"/>
      <c r="AR992" s="5"/>
      <c r="AS992" s="5"/>
      <c r="AT992" s="5"/>
      <c r="AU992" s="5"/>
    </row>
    <row r="993" ht="15.75" customHeight="1">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c r="AB993" s="5"/>
      <c r="AC993" s="5"/>
      <c r="AD993" s="5"/>
      <c r="AE993" s="5"/>
      <c r="AF993" s="5"/>
      <c r="AG993" s="5"/>
      <c r="AH993" s="5"/>
      <c r="AI993" s="5"/>
      <c r="AJ993" s="5"/>
      <c r="AK993" s="5"/>
      <c r="AL993" s="5"/>
      <c r="AM993" s="5"/>
      <c r="AN993" s="5"/>
      <c r="AO993" s="5"/>
      <c r="AP993" s="5"/>
      <c r="AQ993" s="5"/>
      <c r="AR993" s="5"/>
      <c r="AS993" s="5"/>
      <c r="AT993" s="5"/>
      <c r="AU993" s="5"/>
    </row>
    <row r="994" ht="15.75" customHeight="1">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c r="AB994" s="5"/>
      <c r="AC994" s="5"/>
      <c r="AD994" s="5"/>
      <c r="AE994" s="5"/>
      <c r="AF994" s="5"/>
      <c r="AG994" s="5"/>
      <c r="AH994" s="5"/>
      <c r="AI994" s="5"/>
      <c r="AJ994" s="5"/>
      <c r="AK994" s="5"/>
      <c r="AL994" s="5"/>
      <c r="AM994" s="5"/>
      <c r="AN994" s="5"/>
      <c r="AO994" s="5"/>
      <c r="AP994" s="5"/>
      <c r="AQ994" s="5"/>
      <c r="AR994" s="5"/>
      <c r="AS994" s="5"/>
      <c r="AT994" s="5"/>
      <c r="AU994" s="5"/>
    </row>
    <row r="995" ht="15.75" customHeight="1">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c r="AB995" s="5"/>
      <c r="AC995" s="5"/>
      <c r="AD995" s="5"/>
      <c r="AE995" s="5"/>
      <c r="AF995" s="5"/>
      <c r="AG995" s="5"/>
      <c r="AH995" s="5"/>
      <c r="AI995" s="5"/>
      <c r="AJ995" s="5"/>
      <c r="AK995" s="5"/>
      <c r="AL995" s="5"/>
      <c r="AM995" s="5"/>
      <c r="AN995" s="5"/>
      <c r="AO995" s="5"/>
      <c r="AP995" s="5"/>
      <c r="AQ995" s="5"/>
      <c r="AR995" s="5"/>
      <c r="AS995" s="5"/>
      <c r="AT995" s="5"/>
      <c r="AU995" s="5"/>
    </row>
    <row r="996" ht="15.75" customHeight="1">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c r="AB996" s="5"/>
      <c r="AC996" s="5"/>
      <c r="AD996" s="5"/>
      <c r="AE996" s="5"/>
      <c r="AF996" s="5"/>
      <c r="AG996" s="5"/>
      <c r="AH996" s="5"/>
      <c r="AI996" s="5"/>
      <c r="AJ996" s="5"/>
      <c r="AK996" s="5"/>
      <c r="AL996" s="5"/>
      <c r="AM996" s="5"/>
      <c r="AN996" s="5"/>
      <c r="AO996" s="5"/>
      <c r="AP996" s="5"/>
      <c r="AQ996" s="5"/>
      <c r="AR996" s="5"/>
      <c r="AS996" s="5"/>
      <c r="AT996" s="5"/>
      <c r="AU996" s="5"/>
    </row>
    <row r="997" ht="15.75" customHeight="1">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c r="AB997" s="5"/>
      <c r="AC997" s="5"/>
      <c r="AD997" s="5"/>
      <c r="AE997" s="5"/>
      <c r="AF997" s="5"/>
      <c r="AG997" s="5"/>
      <c r="AH997" s="5"/>
      <c r="AI997" s="5"/>
      <c r="AJ997" s="5"/>
      <c r="AK997" s="5"/>
      <c r="AL997" s="5"/>
      <c r="AM997" s="5"/>
      <c r="AN997" s="5"/>
      <c r="AO997" s="5"/>
      <c r="AP997" s="5"/>
      <c r="AQ997" s="5"/>
      <c r="AR997" s="5"/>
      <c r="AS997" s="5"/>
      <c r="AT997" s="5"/>
      <c r="AU997" s="5"/>
    </row>
    <row r="998" ht="15.75" customHeight="1">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c r="AB998" s="5"/>
      <c r="AC998" s="5"/>
      <c r="AD998" s="5"/>
      <c r="AE998" s="5"/>
      <c r="AF998" s="5"/>
      <c r="AG998" s="5"/>
      <c r="AH998" s="5"/>
      <c r="AI998" s="5"/>
      <c r="AJ998" s="5"/>
      <c r="AK998" s="5"/>
      <c r="AL998" s="5"/>
      <c r="AM998" s="5"/>
      <c r="AN998" s="5"/>
      <c r="AO998" s="5"/>
      <c r="AP998" s="5"/>
      <c r="AQ998" s="5"/>
      <c r="AR998" s="5"/>
      <c r="AS998" s="5"/>
      <c r="AT998" s="5"/>
      <c r="AU998" s="5"/>
    </row>
    <row r="999" ht="15.75" customHeight="1">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c r="AB999" s="5"/>
      <c r="AC999" s="5"/>
      <c r="AD999" s="5"/>
      <c r="AE999" s="5"/>
      <c r="AF999" s="5"/>
      <c r="AG999" s="5"/>
      <c r="AH999" s="5"/>
      <c r="AI999" s="5"/>
      <c r="AJ999" s="5"/>
      <c r="AK999" s="5"/>
      <c r="AL999" s="5"/>
      <c r="AM999" s="5"/>
      <c r="AN999" s="5"/>
      <c r="AO999" s="5"/>
      <c r="AP999" s="5"/>
      <c r="AQ999" s="5"/>
      <c r="AR999" s="5"/>
      <c r="AS999" s="5"/>
      <c r="AT999" s="5"/>
      <c r="AU999" s="5"/>
    </row>
    <row r="1000" ht="15.75" customHeight="1">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c r="AB1000" s="5"/>
      <c r="AC1000" s="5"/>
      <c r="AD1000" s="5"/>
      <c r="AE1000" s="5"/>
      <c r="AF1000" s="5"/>
      <c r="AG1000" s="5"/>
      <c r="AH1000" s="5"/>
      <c r="AI1000" s="5"/>
      <c r="AJ1000" s="5"/>
      <c r="AK1000" s="5"/>
      <c r="AL1000" s="5"/>
      <c r="AM1000" s="5"/>
      <c r="AN1000" s="5"/>
      <c r="AO1000" s="5"/>
      <c r="AP1000" s="5"/>
      <c r="AQ1000" s="5"/>
      <c r="AR1000" s="5"/>
      <c r="AS1000" s="5"/>
      <c r="AT1000" s="5"/>
      <c r="AU1000" s="5"/>
    </row>
  </sheetData>
  <autoFilter ref="$A$1:$AU$108">
    <filterColumn colId="40">
      <colorFilter dxfId="1"/>
    </filterColumn>
  </autoFilter>
  <mergeCells count="2">
    <mergeCell ref="AO120:AU120"/>
    <mergeCell ref="AO121:AU121"/>
  </mergeCells>
  <dataValidations>
    <dataValidation type="list" allowBlank="1" sqref="AR2:AR108">
      <formula1>"Not Started,In Progress,Data Collected - Pending QA,Verified,Live"</formula1>
    </dataValidation>
    <dataValidation type="list" allowBlank="1" sqref="AH2:AI108">
      <formula1>"Yes,No,Partial"</formula1>
    </dataValidation>
    <dataValidation type="list" allowBlank="1" sqref="AS2:AS108">
      <formula1>"TBD,Divyata,Parul,New Hire,Tech Head,Already live,Ankita D"</formula1>
    </dataValidation>
  </dataValidations>
  <hyperlinks>
    <hyperlink r:id="rId1" ref="AO2"/>
    <hyperlink r:id="rId2" ref="AO4"/>
    <hyperlink r:id="rId3" ref="AO5"/>
    <hyperlink r:id="rId4" ref="AO6"/>
    <hyperlink r:id="rId5" ref="AO7"/>
    <hyperlink r:id="rId6" ref="AO8"/>
    <hyperlink r:id="rId7" ref="AO10"/>
    <hyperlink r:id="rId8" ref="AO11"/>
    <hyperlink r:id="rId9" ref="AO12"/>
    <hyperlink r:id="rId10" ref="AO13"/>
    <hyperlink r:id="rId11" ref="AO14"/>
    <hyperlink r:id="rId12" ref="AO16"/>
    <hyperlink r:id="rId13" ref="AO17"/>
    <hyperlink r:id="rId14" ref="AO18"/>
    <hyperlink r:id="rId15" ref="AO19"/>
    <hyperlink r:id="rId16" ref="AO20"/>
    <hyperlink r:id="rId17" ref="AO21"/>
    <hyperlink r:id="rId18" ref="AO22"/>
    <hyperlink r:id="rId19" ref="AO23"/>
    <hyperlink r:id="rId20" ref="AO24"/>
    <hyperlink r:id="rId21" ref="AO25"/>
    <hyperlink r:id="rId22" ref="AO26"/>
    <hyperlink r:id="rId23" ref="AO27"/>
    <hyperlink r:id="rId24" ref="AO28"/>
    <hyperlink r:id="rId25" location="sustainability" ref="AO30"/>
    <hyperlink r:id="rId26" ref="AO31"/>
    <hyperlink r:id="rId27" ref="AO32"/>
    <hyperlink r:id="rId28" ref="AO33"/>
    <hyperlink r:id="rId29" ref="AO34"/>
    <hyperlink r:id="rId30" ref="AO35"/>
    <hyperlink r:id="rId31" ref="AO36"/>
    <hyperlink r:id="rId32" ref="AO37"/>
    <hyperlink r:id="rId33" ref="AO38"/>
    <hyperlink r:id="rId34" ref="AO39"/>
    <hyperlink r:id="rId35" ref="AO40"/>
    <hyperlink r:id="rId36" ref="AO41"/>
    <hyperlink r:id="rId37" ref="AO42"/>
    <hyperlink r:id="rId38" ref="AO43"/>
    <hyperlink r:id="rId39" ref="AO46"/>
    <hyperlink r:id="rId40" ref="AO47"/>
    <hyperlink r:id="rId41" ref="AO48"/>
    <hyperlink r:id="rId42" ref="AO49"/>
    <hyperlink r:id="rId43" ref="AO50"/>
    <hyperlink r:id="rId44" location="Aboutus" ref="AO52"/>
    <hyperlink r:id="rId45" ref="AO53"/>
    <hyperlink r:id="rId46" ref="AO54"/>
    <hyperlink r:id="rId47" ref="AO55"/>
    <hyperlink r:id="rId48" ref="AO56"/>
    <hyperlink r:id="rId49" ref="AO57"/>
    <hyperlink r:id="rId50" ref="AO58"/>
    <hyperlink r:id="rId51" ref="AO59"/>
    <hyperlink r:id="rId52" ref="AO60"/>
    <hyperlink r:id="rId53" ref="AO61"/>
    <hyperlink r:id="rId54" ref="AO62"/>
    <hyperlink r:id="rId55" ref="AO63"/>
    <hyperlink r:id="rId56" ref="AO66"/>
    <hyperlink r:id="rId57" ref="AO67"/>
    <hyperlink r:id="rId58" ref="AO68"/>
    <hyperlink r:id="rId59" ref="AO69"/>
    <hyperlink r:id="rId60" ref="AO70"/>
    <hyperlink r:id="rId61" ref="AO71"/>
    <hyperlink r:id="rId62" ref="AO72"/>
    <hyperlink r:id="rId63" ref="AO73"/>
    <hyperlink r:id="rId64" ref="AO75"/>
    <hyperlink r:id="rId65" ref="AO76"/>
    <hyperlink r:id="rId66" ref="AO78"/>
    <hyperlink r:id="rId67" location="sustainability" ref="AO79"/>
    <hyperlink r:id="rId68" ref="AO80"/>
    <hyperlink r:id="rId69" ref="AO81"/>
    <hyperlink r:id="rId70" ref="AO82"/>
    <hyperlink r:id="rId71" ref="AO83"/>
    <hyperlink r:id="rId72" ref="AO84"/>
    <hyperlink r:id="rId73" ref="AO85"/>
    <hyperlink r:id="rId74" ref="AO86"/>
    <hyperlink r:id="rId75" ref="AO87"/>
    <hyperlink r:id="rId76" location="about" ref="AO89"/>
    <hyperlink r:id="rId77" ref="AO90"/>
    <hyperlink r:id="rId78" ref="AO91"/>
    <hyperlink r:id="rId79" ref="AO92"/>
    <hyperlink r:id="rId80" ref="AO93"/>
    <hyperlink r:id="rId81" ref="AO95"/>
    <hyperlink r:id="rId82" ref="AO96"/>
    <hyperlink r:id="rId83" ref="AO97"/>
    <hyperlink r:id="rId84" ref="AO98"/>
    <hyperlink r:id="rId85" ref="AO99"/>
    <hyperlink r:id="rId86" ref="AO100"/>
    <hyperlink r:id="rId87" ref="AO101"/>
    <hyperlink r:id="rId88" ref="AO102"/>
    <hyperlink r:id="rId89" ref="AO103"/>
    <hyperlink r:id="rId90" ref="AO104"/>
    <hyperlink r:id="rId91" location="about" ref="AO105"/>
    <hyperlink r:id="rId92" ref="AO106"/>
    <hyperlink r:id="rId93" ref="AO107"/>
    <hyperlink r:id="rId94" ref="AO108"/>
  </hyperlinks>
  <printOptions/>
  <pageMargins bottom="1.0" footer="0.0" header="0.0" left="0.75" right="0.75" top="1.0"/>
  <pageSetup paperSize="9" orientation="portrait"/>
  <drawing r:id="rId9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0.0"/>
    <col customWidth="1" min="2" max="2" width="34.0"/>
    <col customWidth="1" min="3" max="3" width="40.0"/>
    <col customWidth="1" min="4" max="4" width="30.0"/>
    <col customWidth="1" min="5" max="5" width="16.0"/>
    <col customWidth="1" min="6" max="6" width="12.0"/>
    <col customWidth="1" min="7" max="7" width="24.0"/>
    <col customWidth="1" min="8" max="8" width="16.0"/>
    <col customWidth="1" min="9" max="9" width="30.0"/>
    <col customWidth="1" min="10" max="10" width="14.0"/>
    <col customWidth="1" min="11" max="11" width="12.0"/>
    <col customWidth="1" min="12" max="12" width="16.0"/>
    <col customWidth="1" min="13" max="13" width="30.0"/>
  </cols>
  <sheetData>
    <row r="1" ht="30.0" customHeight="1">
      <c r="A1" s="4" t="s">
        <v>15</v>
      </c>
      <c r="B1" s="4" t="s">
        <v>4</v>
      </c>
      <c r="C1" s="4" t="s">
        <v>22</v>
      </c>
      <c r="D1" s="4" t="s">
        <v>24</v>
      </c>
      <c r="E1" s="4" t="s">
        <v>27</v>
      </c>
      <c r="F1" s="4" t="s">
        <v>32</v>
      </c>
      <c r="G1" s="4" t="s">
        <v>37</v>
      </c>
      <c r="H1" s="4" t="s">
        <v>41</v>
      </c>
      <c r="I1" s="4" t="s">
        <v>44</v>
      </c>
      <c r="J1" s="4" t="s">
        <v>48</v>
      </c>
      <c r="K1" s="4" t="s">
        <v>52</v>
      </c>
      <c r="L1" s="4" t="s">
        <v>54</v>
      </c>
      <c r="M1" s="4" t="s">
        <v>57</v>
      </c>
      <c r="N1" s="5"/>
      <c r="O1" s="5"/>
      <c r="P1" s="5"/>
      <c r="Q1" s="5"/>
      <c r="R1" s="5"/>
      <c r="S1" s="5"/>
      <c r="T1" s="5"/>
      <c r="U1" s="5"/>
      <c r="V1" s="5"/>
      <c r="W1" s="5"/>
      <c r="X1" s="5"/>
      <c r="Y1" s="5"/>
      <c r="Z1" s="5"/>
    </row>
    <row r="2">
      <c r="A2" s="7" t="s">
        <v>78</v>
      </c>
      <c r="B2" s="7" t="s">
        <v>80</v>
      </c>
      <c r="C2" s="7" t="s">
        <v>86</v>
      </c>
      <c r="D2" s="7" t="s">
        <v>87</v>
      </c>
      <c r="E2" s="7" t="s">
        <v>89</v>
      </c>
      <c r="F2" s="7" t="s">
        <v>91</v>
      </c>
      <c r="G2" s="7" t="s">
        <v>93</v>
      </c>
      <c r="H2" s="7" t="s">
        <v>96</v>
      </c>
      <c r="I2" s="7"/>
      <c r="J2" s="7" t="s">
        <v>98</v>
      </c>
      <c r="K2" s="7">
        <v>0.716156455283157</v>
      </c>
      <c r="L2" s="7" t="s">
        <v>88</v>
      </c>
      <c r="M2" s="16" t="s">
        <v>83</v>
      </c>
      <c r="N2" s="5"/>
      <c r="O2" s="5"/>
      <c r="P2" s="5"/>
      <c r="Q2" s="5"/>
      <c r="R2" s="5"/>
      <c r="S2" s="5"/>
      <c r="T2" s="5"/>
      <c r="U2" s="5"/>
      <c r="V2" s="5"/>
      <c r="W2" s="5"/>
      <c r="X2" s="5"/>
      <c r="Y2" s="5"/>
      <c r="Z2" s="5"/>
    </row>
    <row r="3">
      <c r="A3" s="7" t="s">
        <v>78</v>
      </c>
      <c r="B3" s="7" t="s">
        <v>116</v>
      </c>
      <c r="C3" s="7" t="s">
        <v>117</v>
      </c>
      <c r="D3" s="7" t="s">
        <v>87</v>
      </c>
      <c r="E3" s="7" t="s">
        <v>89</v>
      </c>
      <c r="F3" s="7" t="s">
        <v>91</v>
      </c>
      <c r="G3" s="7" t="s">
        <v>93</v>
      </c>
      <c r="H3" s="7" t="s">
        <v>118</v>
      </c>
      <c r="I3" s="7"/>
      <c r="J3" s="7" t="s">
        <v>98</v>
      </c>
      <c r="K3" s="7">
        <v>0.919969576607792</v>
      </c>
      <c r="L3" s="7" t="s">
        <v>88</v>
      </c>
      <c r="M3" s="16" t="s">
        <v>83</v>
      </c>
      <c r="N3" s="5"/>
      <c r="O3" s="5"/>
      <c r="P3" s="5"/>
      <c r="Q3" s="5"/>
      <c r="R3" s="5"/>
      <c r="S3" s="5"/>
      <c r="T3" s="5"/>
      <c r="U3" s="5"/>
      <c r="V3" s="5"/>
      <c r="W3" s="5"/>
      <c r="X3" s="5"/>
      <c r="Y3" s="5"/>
      <c r="Z3" s="5"/>
    </row>
    <row r="4">
      <c r="A4" s="7" t="s">
        <v>78</v>
      </c>
      <c r="B4" s="7" t="s">
        <v>124</v>
      </c>
      <c r="C4" s="7" t="s">
        <v>125</v>
      </c>
      <c r="D4" s="7" t="s">
        <v>126</v>
      </c>
      <c r="E4" s="7" t="s">
        <v>127</v>
      </c>
      <c r="F4" s="7" t="s">
        <v>128</v>
      </c>
      <c r="G4" s="7" t="s">
        <v>130</v>
      </c>
      <c r="H4" s="7"/>
      <c r="I4" s="7"/>
      <c r="J4" s="7" t="s">
        <v>134</v>
      </c>
      <c r="K4" s="7" t="s">
        <v>135</v>
      </c>
      <c r="L4" s="7" t="s">
        <v>88</v>
      </c>
      <c r="M4" s="16" t="s">
        <v>83</v>
      </c>
      <c r="N4" s="5"/>
      <c r="O4" s="5"/>
      <c r="P4" s="5"/>
      <c r="Q4" s="5"/>
      <c r="R4" s="5"/>
      <c r="S4" s="5"/>
      <c r="T4" s="5"/>
      <c r="U4" s="5"/>
      <c r="V4" s="5"/>
      <c r="W4" s="5"/>
      <c r="X4" s="5"/>
      <c r="Y4" s="5"/>
      <c r="Z4" s="5"/>
    </row>
    <row r="5">
      <c r="A5" s="7" t="s">
        <v>78</v>
      </c>
      <c r="B5" s="7" t="s">
        <v>143</v>
      </c>
      <c r="C5" s="7" t="s">
        <v>144</v>
      </c>
      <c r="D5" s="7" t="s">
        <v>126</v>
      </c>
      <c r="E5" s="7" t="s">
        <v>127</v>
      </c>
      <c r="F5" s="7" t="s">
        <v>145</v>
      </c>
      <c r="G5" s="7" t="s">
        <v>130</v>
      </c>
      <c r="H5" s="7"/>
      <c r="I5" s="7"/>
      <c r="J5" s="7" t="s">
        <v>134</v>
      </c>
      <c r="K5" s="7" t="s">
        <v>135</v>
      </c>
      <c r="L5" s="7" t="s">
        <v>88</v>
      </c>
      <c r="M5" s="16" t="s">
        <v>83</v>
      </c>
      <c r="N5" s="5"/>
      <c r="O5" s="5"/>
      <c r="P5" s="5"/>
      <c r="Q5" s="5"/>
      <c r="R5" s="5"/>
      <c r="S5" s="5"/>
      <c r="T5" s="5"/>
      <c r="U5" s="5"/>
      <c r="V5" s="5"/>
      <c r="W5" s="5"/>
      <c r="X5" s="5"/>
      <c r="Y5" s="5"/>
      <c r="Z5" s="5"/>
    </row>
    <row r="6">
      <c r="A6" s="7" t="s">
        <v>78</v>
      </c>
      <c r="B6" s="7" t="s">
        <v>150</v>
      </c>
      <c r="C6" s="7" t="s">
        <v>151</v>
      </c>
      <c r="D6" s="7" t="s">
        <v>126</v>
      </c>
      <c r="E6" s="7" t="s">
        <v>152</v>
      </c>
      <c r="F6" s="7" t="s">
        <v>145</v>
      </c>
      <c r="G6" s="7" t="s">
        <v>93</v>
      </c>
      <c r="H6" s="7" t="s">
        <v>118</v>
      </c>
      <c r="I6" s="7"/>
      <c r="J6" s="7" t="s">
        <v>155</v>
      </c>
      <c r="K6" s="7">
        <v>0.956924472081876</v>
      </c>
      <c r="L6" s="7" t="s">
        <v>88</v>
      </c>
      <c r="M6" s="16" t="s">
        <v>83</v>
      </c>
      <c r="N6" s="5"/>
      <c r="O6" s="5"/>
      <c r="P6" s="5"/>
      <c r="Q6" s="5"/>
      <c r="R6" s="5"/>
      <c r="S6" s="5"/>
      <c r="T6" s="5"/>
      <c r="U6" s="5"/>
      <c r="V6" s="5"/>
      <c r="W6" s="5"/>
      <c r="X6" s="5"/>
      <c r="Y6" s="5"/>
      <c r="Z6" s="5"/>
    </row>
    <row r="7">
      <c r="A7" s="7" t="s">
        <v>78</v>
      </c>
      <c r="B7" s="7" t="s">
        <v>157</v>
      </c>
      <c r="C7" s="7" t="s">
        <v>161</v>
      </c>
      <c r="D7" s="7" t="s">
        <v>126</v>
      </c>
      <c r="E7" s="7" t="s">
        <v>89</v>
      </c>
      <c r="F7" s="7" t="s">
        <v>128</v>
      </c>
      <c r="G7" s="7" t="s">
        <v>156</v>
      </c>
      <c r="H7" s="7" t="s">
        <v>118</v>
      </c>
      <c r="I7" s="7"/>
      <c r="J7" s="7" t="s">
        <v>155</v>
      </c>
      <c r="K7" s="7">
        <v>0.8857363230676</v>
      </c>
      <c r="L7" s="7" t="s">
        <v>88</v>
      </c>
      <c r="M7" s="16" t="s">
        <v>83</v>
      </c>
      <c r="N7" s="5"/>
      <c r="O7" s="5"/>
      <c r="P7" s="5"/>
      <c r="Q7" s="5"/>
      <c r="R7" s="5"/>
      <c r="S7" s="5"/>
      <c r="T7" s="5"/>
      <c r="U7" s="5"/>
      <c r="V7" s="5"/>
      <c r="W7" s="5"/>
      <c r="X7" s="5"/>
      <c r="Y7" s="5"/>
      <c r="Z7" s="5"/>
    </row>
    <row r="8">
      <c r="A8" s="7" t="s">
        <v>78</v>
      </c>
      <c r="B8" s="7" t="s">
        <v>165</v>
      </c>
      <c r="C8" s="7" t="s">
        <v>166</v>
      </c>
      <c r="D8" s="7" t="s">
        <v>126</v>
      </c>
      <c r="E8" s="7" t="s">
        <v>89</v>
      </c>
      <c r="F8" s="7" t="s">
        <v>128</v>
      </c>
      <c r="G8" s="7" t="s">
        <v>93</v>
      </c>
      <c r="H8" s="7" t="s">
        <v>118</v>
      </c>
      <c r="I8" s="7"/>
      <c r="J8" s="7" t="s">
        <v>98</v>
      </c>
      <c r="K8" s="7">
        <v>0.850975399707942</v>
      </c>
      <c r="L8" s="7" t="s">
        <v>88</v>
      </c>
      <c r="M8" s="16" t="s">
        <v>83</v>
      </c>
      <c r="N8" s="5"/>
      <c r="O8" s="5"/>
      <c r="P8" s="5"/>
      <c r="Q8" s="5"/>
      <c r="R8" s="5"/>
      <c r="S8" s="5"/>
      <c r="T8" s="5"/>
      <c r="U8" s="5"/>
      <c r="V8" s="5"/>
      <c r="W8" s="5"/>
      <c r="X8" s="5"/>
      <c r="Y8" s="5"/>
      <c r="Z8" s="5"/>
    </row>
    <row r="9">
      <c r="A9" s="7" t="s">
        <v>78</v>
      </c>
      <c r="B9" s="7" t="s">
        <v>174</v>
      </c>
      <c r="C9" s="7" t="s">
        <v>177</v>
      </c>
      <c r="D9" s="7" t="s">
        <v>126</v>
      </c>
      <c r="E9" s="7" t="s">
        <v>152</v>
      </c>
      <c r="F9" s="7" t="s">
        <v>128</v>
      </c>
      <c r="G9" s="7" t="s">
        <v>93</v>
      </c>
      <c r="H9" s="7" t="s">
        <v>182</v>
      </c>
      <c r="I9" s="7"/>
      <c r="J9" s="7" t="s">
        <v>183</v>
      </c>
      <c r="K9" s="7">
        <v>0.681365862385116</v>
      </c>
      <c r="L9" s="7" t="s">
        <v>88</v>
      </c>
      <c r="M9" s="16" t="s">
        <v>83</v>
      </c>
      <c r="N9" s="5"/>
      <c r="O9" s="5"/>
      <c r="P9" s="5"/>
      <c r="Q9" s="5"/>
      <c r="R9" s="5"/>
      <c r="S9" s="5"/>
      <c r="T9" s="5"/>
      <c r="U9" s="5"/>
      <c r="V9" s="5"/>
      <c r="W9" s="5"/>
      <c r="X9" s="5"/>
      <c r="Y9" s="5"/>
      <c r="Z9" s="5"/>
    </row>
    <row r="10">
      <c r="A10" s="7" t="s">
        <v>78</v>
      </c>
      <c r="B10" s="7" t="s">
        <v>189</v>
      </c>
      <c r="C10" s="7" t="s">
        <v>191</v>
      </c>
      <c r="D10" s="7" t="s">
        <v>126</v>
      </c>
      <c r="E10" s="7" t="s">
        <v>89</v>
      </c>
      <c r="F10" s="7" t="s">
        <v>128</v>
      </c>
      <c r="G10" s="7" t="s">
        <v>156</v>
      </c>
      <c r="H10" s="7" t="s">
        <v>195</v>
      </c>
      <c r="I10" s="7"/>
      <c r="J10" s="7" t="s">
        <v>98</v>
      </c>
      <c r="K10" s="7">
        <v>0.788282703037818</v>
      </c>
      <c r="L10" s="7" t="s">
        <v>88</v>
      </c>
      <c r="M10" s="16" t="s">
        <v>83</v>
      </c>
      <c r="N10" s="5"/>
      <c r="O10" s="5"/>
      <c r="P10" s="5"/>
      <c r="Q10" s="5"/>
      <c r="R10" s="5"/>
      <c r="S10" s="5"/>
      <c r="T10" s="5"/>
      <c r="U10" s="5"/>
      <c r="V10" s="5"/>
      <c r="W10" s="5"/>
      <c r="X10" s="5"/>
      <c r="Y10" s="5"/>
      <c r="Z10" s="5"/>
    </row>
    <row r="11">
      <c r="A11" s="7" t="s">
        <v>78</v>
      </c>
      <c r="B11" s="7" t="s">
        <v>199</v>
      </c>
      <c r="C11" s="7" t="s">
        <v>200</v>
      </c>
      <c r="D11" s="7" t="s">
        <v>126</v>
      </c>
      <c r="E11" s="7" t="s">
        <v>89</v>
      </c>
      <c r="F11" s="7" t="s">
        <v>145</v>
      </c>
      <c r="G11" s="7" t="s">
        <v>93</v>
      </c>
      <c r="H11" s="7" t="s">
        <v>118</v>
      </c>
      <c r="I11" s="7"/>
      <c r="J11" s="7" t="s">
        <v>98</v>
      </c>
      <c r="K11" s="7">
        <v>0.894702842377261</v>
      </c>
      <c r="L11" s="7" t="s">
        <v>135</v>
      </c>
      <c r="M11" s="16" t="s">
        <v>83</v>
      </c>
      <c r="N11" s="5"/>
      <c r="O11" s="5"/>
      <c r="P11" s="5"/>
      <c r="Q11" s="5"/>
      <c r="R11" s="5"/>
      <c r="S11" s="5"/>
      <c r="T11" s="5"/>
      <c r="U11" s="5"/>
      <c r="V11" s="5"/>
      <c r="W11" s="5"/>
      <c r="X11" s="5"/>
      <c r="Y11" s="5"/>
      <c r="Z11" s="5"/>
    </row>
    <row r="12">
      <c r="A12" s="7" t="s">
        <v>78</v>
      </c>
      <c r="B12" s="7" t="s">
        <v>211</v>
      </c>
      <c r="C12" s="7" t="s">
        <v>213</v>
      </c>
      <c r="D12" s="7" t="s">
        <v>87</v>
      </c>
      <c r="E12" s="7" t="s">
        <v>89</v>
      </c>
      <c r="F12" s="7" t="s">
        <v>145</v>
      </c>
      <c r="G12" s="7" t="s">
        <v>93</v>
      </c>
      <c r="H12" s="7" t="s">
        <v>118</v>
      </c>
      <c r="I12" s="7"/>
      <c r="J12" s="7" t="s">
        <v>155</v>
      </c>
      <c r="K12" s="7">
        <v>0.891313370886451</v>
      </c>
      <c r="L12" s="7" t="s">
        <v>135</v>
      </c>
      <c r="M12" s="16" t="s">
        <v>83</v>
      </c>
      <c r="N12" s="5"/>
      <c r="O12" s="5"/>
      <c r="P12" s="5"/>
      <c r="Q12" s="5"/>
      <c r="R12" s="5"/>
      <c r="S12" s="5"/>
      <c r="T12" s="5"/>
      <c r="U12" s="5"/>
      <c r="V12" s="5"/>
      <c r="W12" s="5"/>
      <c r="X12" s="5"/>
      <c r="Y12" s="5"/>
      <c r="Z12" s="5"/>
    </row>
    <row r="13">
      <c r="A13" s="7" t="s">
        <v>78</v>
      </c>
      <c r="B13" s="7" t="s">
        <v>225</v>
      </c>
      <c r="C13" s="7" t="s">
        <v>227</v>
      </c>
      <c r="D13" s="7" t="s">
        <v>87</v>
      </c>
      <c r="E13" s="7" t="s">
        <v>89</v>
      </c>
      <c r="F13" s="7" t="s">
        <v>91</v>
      </c>
      <c r="G13" s="7" t="s">
        <v>156</v>
      </c>
      <c r="H13" s="7" t="s">
        <v>118</v>
      </c>
      <c r="I13" s="7"/>
      <c r="J13" s="7" t="s">
        <v>155</v>
      </c>
      <c r="K13" s="7">
        <v>0.921335143139191</v>
      </c>
      <c r="L13" s="7" t="s">
        <v>88</v>
      </c>
      <c r="M13" s="16" t="s">
        <v>83</v>
      </c>
      <c r="N13" s="5"/>
      <c r="O13" s="5"/>
      <c r="P13" s="5"/>
      <c r="Q13" s="5"/>
      <c r="R13" s="5"/>
      <c r="S13" s="5"/>
      <c r="T13" s="5"/>
      <c r="U13" s="5"/>
      <c r="V13" s="5"/>
      <c r="W13" s="5"/>
      <c r="X13" s="5"/>
      <c r="Y13" s="5"/>
      <c r="Z13" s="5"/>
    </row>
    <row r="14">
      <c r="A14" s="7" t="s">
        <v>78</v>
      </c>
      <c r="B14" s="7" t="s">
        <v>243</v>
      </c>
      <c r="C14" s="7" t="s">
        <v>246</v>
      </c>
      <c r="D14" s="7" t="s">
        <v>87</v>
      </c>
      <c r="E14" s="7" t="s">
        <v>89</v>
      </c>
      <c r="F14" s="7" t="s">
        <v>92</v>
      </c>
      <c r="G14" s="7" t="s">
        <v>93</v>
      </c>
      <c r="H14" s="7" t="s">
        <v>250</v>
      </c>
      <c r="I14" s="7"/>
      <c r="J14" s="7" t="s">
        <v>98</v>
      </c>
      <c r="K14" s="7">
        <v>0.750139784545421</v>
      </c>
      <c r="L14" s="7" t="s">
        <v>88</v>
      </c>
      <c r="M14" s="16" t="s">
        <v>83</v>
      </c>
      <c r="N14" s="5"/>
      <c r="O14" s="5"/>
      <c r="P14" s="5"/>
      <c r="Q14" s="5"/>
      <c r="R14" s="5"/>
      <c r="S14" s="5"/>
      <c r="T14" s="5"/>
      <c r="U14" s="5"/>
      <c r="V14" s="5"/>
      <c r="W14" s="5"/>
      <c r="X14" s="5"/>
      <c r="Y14" s="5"/>
      <c r="Z14" s="5"/>
    </row>
    <row r="15">
      <c r="A15" s="7" t="s">
        <v>78</v>
      </c>
      <c r="B15" s="7" t="s">
        <v>256</v>
      </c>
      <c r="C15" s="7" t="s">
        <v>261</v>
      </c>
      <c r="D15" s="7" t="s">
        <v>87</v>
      </c>
      <c r="E15" s="7" t="s">
        <v>89</v>
      </c>
      <c r="F15" s="7" t="s">
        <v>92</v>
      </c>
      <c r="G15" s="7" t="s">
        <v>130</v>
      </c>
      <c r="H15" s="7"/>
      <c r="I15" s="7"/>
      <c r="J15" s="7" t="s">
        <v>155</v>
      </c>
      <c r="K15" s="7">
        <v>0.906560636182903</v>
      </c>
      <c r="L15" s="7" t="s">
        <v>88</v>
      </c>
      <c r="M15" s="16" t="s">
        <v>83</v>
      </c>
      <c r="N15" s="5"/>
      <c r="O15" s="5"/>
      <c r="P15" s="5"/>
      <c r="Q15" s="5"/>
      <c r="R15" s="5"/>
      <c r="S15" s="5"/>
      <c r="T15" s="5"/>
      <c r="U15" s="5"/>
      <c r="V15" s="5"/>
      <c r="W15" s="5"/>
      <c r="X15" s="5"/>
      <c r="Y15" s="5"/>
      <c r="Z15" s="5"/>
    </row>
    <row r="16">
      <c r="A16" s="7" t="s">
        <v>78</v>
      </c>
      <c r="B16" s="7" t="s">
        <v>272</v>
      </c>
      <c r="C16" s="7" t="s">
        <v>273</v>
      </c>
      <c r="D16" s="7" t="s">
        <v>87</v>
      </c>
      <c r="E16" s="7" t="s">
        <v>89</v>
      </c>
      <c r="F16" s="7" t="s">
        <v>92</v>
      </c>
      <c r="G16" s="7" t="s">
        <v>156</v>
      </c>
      <c r="H16" s="7" t="s">
        <v>118</v>
      </c>
      <c r="I16" s="7"/>
      <c r="J16" s="7" t="s">
        <v>98</v>
      </c>
      <c r="K16" s="7">
        <v>0.915493343559963</v>
      </c>
      <c r="L16" s="7" t="s">
        <v>88</v>
      </c>
      <c r="M16" s="16" t="s">
        <v>83</v>
      </c>
      <c r="N16" s="5"/>
      <c r="O16" s="5"/>
      <c r="P16" s="5"/>
      <c r="Q16" s="5"/>
      <c r="R16" s="5"/>
      <c r="S16" s="5"/>
      <c r="T16" s="5"/>
      <c r="U16" s="5"/>
      <c r="V16" s="5"/>
      <c r="W16" s="5"/>
      <c r="X16" s="5"/>
      <c r="Y16" s="5"/>
      <c r="Z16" s="5"/>
    </row>
    <row r="17">
      <c r="A17" s="7" t="s">
        <v>78</v>
      </c>
      <c r="B17" s="7" t="s">
        <v>282</v>
      </c>
      <c r="C17" s="7" t="s">
        <v>283</v>
      </c>
      <c r="D17" s="7" t="s">
        <v>87</v>
      </c>
      <c r="E17" s="7" t="s">
        <v>89</v>
      </c>
      <c r="F17" s="7" t="s">
        <v>145</v>
      </c>
      <c r="G17" s="7" t="s">
        <v>156</v>
      </c>
      <c r="H17" s="7" t="s">
        <v>285</v>
      </c>
      <c r="I17" s="7"/>
      <c r="J17" s="7" t="s">
        <v>155</v>
      </c>
      <c r="K17" s="7">
        <v>0.931663837011885</v>
      </c>
      <c r="L17" s="7" t="s">
        <v>88</v>
      </c>
      <c r="M17" s="16" t="s">
        <v>83</v>
      </c>
      <c r="N17" s="5"/>
      <c r="O17" s="5"/>
      <c r="P17" s="5"/>
      <c r="Q17" s="5"/>
      <c r="R17" s="5"/>
      <c r="S17" s="5"/>
      <c r="T17" s="5"/>
      <c r="U17" s="5"/>
      <c r="V17" s="5"/>
      <c r="W17" s="5"/>
      <c r="X17" s="5"/>
      <c r="Y17" s="5"/>
      <c r="Z17" s="5"/>
    </row>
    <row r="18">
      <c r="A18" s="7" t="s">
        <v>78</v>
      </c>
      <c r="B18" s="7" t="s">
        <v>292</v>
      </c>
      <c r="C18" s="7" t="s">
        <v>294</v>
      </c>
      <c r="D18" s="7" t="s">
        <v>126</v>
      </c>
      <c r="E18" s="7" t="s">
        <v>89</v>
      </c>
      <c r="F18" s="7" t="s">
        <v>145</v>
      </c>
      <c r="G18" s="7" t="s">
        <v>156</v>
      </c>
      <c r="H18" s="7" t="s">
        <v>118</v>
      </c>
      <c r="I18" s="7"/>
      <c r="J18" s="7" t="s">
        <v>155</v>
      </c>
      <c r="K18" s="7">
        <v>0.860885562040091</v>
      </c>
      <c r="L18" s="7" t="s">
        <v>135</v>
      </c>
      <c r="M18" s="16" t="s">
        <v>83</v>
      </c>
      <c r="N18" s="5"/>
      <c r="O18" s="5"/>
      <c r="P18" s="5"/>
      <c r="Q18" s="5"/>
      <c r="R18" s="5"/>
      <c r="S18" s="5"/>
      <c r="T18" s="5"/>
      <c r="U18" s="5"/>
      <c r="V18" s="5"/>
      <c r="W18" s="5"/>
      <c r="X18" s="5"/>
      <c r="Y18" s="5"/>
      <c r="Z18" s="5"/>
    </row>
    <row r="19">
      <c r="A19" s="7" t="s">
        <v>78</v>
      </c>
      <c r="B19" s="7" t="s">
        <v>309</v>
      </c>
      <c r="C19" s="7" t="s">
        <v>310</v>
      </c>
      <c r="D19" s="7" t="s">
        <v>87</v>
      </c>
      <c r="E19" s="7" t="s">
        <v>89</v>
      </c>
      <c r="F19" s="7" t="s">
        <v>145</v>
      </c>
      <c r="G19" s="7" t="s">
        <v>248</v>
      </c>
      <c r="H19" s="7" t="s">
        <v>96</v>
      </c>
      <c r="I19" s="7"/>
      <c r="J19" s="7" t="s">
        <v>155</v>
      </c>
      <c r="K19" s="7">
        <v>0.797526339899221</v>
      </c>
      <c r="L19" s="7" t="s">
        <v>135</v>
      </c>
      <c r="M19" s="16" t="s">
        <v>83</v>
      </c>
      <c r="N19" s="5"/>
      <c r="O19" s="5"/>
      <c r="P19" s="5"/>
      <c r="Q19" s="5"/>
      <c r="R19" s="5"/>
      <c r="S19" s="5"/>
      <c r="T19" s="5"/>
      <c r="U19" s="5"/>
      <c r="V19" s="5"/>
      <c r="W19" s="5"/>
      <c r="X19" s="5"/>
      <c r="Y19" s="5"/>
      <c r="Z19" s="5"/>
    </row>
    <row r="20">
      <c r="A20" s="7" t="s">
        <v>78</v>
      </c>
      <c r="B20" s="7" t="s">
        <v>315</v>
      </c>
      <c r="C20" s="7" t="s">
        <v>318</v>
      </c>
      <c r="D20" s="7" t="s">
        <v>126</v>
      </c>
      <c r="E20" s="7" t="s">
        <v>89</v>
      </c>
      <c r="F20" s="7" t="s">
        <v>145</v>
      </c>
      <c r="G20" s="7" t="s">
        <v>130</v>
      </c>
      <c r="H20" s="7"/>
      <c r="I20" s="7"/>
      <c r="J20" s="7" t="s">
        <v>155</v>
      </c>
      <c r="K20" s="7" t="s">
        <v>135</v>
      </c>
      <c r="L20" s="7" t="s">
        <v>88</v>
      </c>
      <c r="M20" s="16" t="s">
        <v>83</v>
      </c>
      <c r="N20" s="5"/>
      <c r="O20" s="5"/>
      <c r="P20" s="5"/>
      <c r="Q20" s="5"/>
      <c r="R20" s="5"/>
      <c r="S20" s="5"/>
      <c r="T20" s="5"/>
      <c r="U20" s="5"/>
      <c r="V20" s="5"/>
      <c r="W20" s="5"/>
      <c r="X20" s="5"/>
      <c r="Y20" s="5"/>
      <c r="Z20" s="5"/>
    </row>
    <row r="21" ht="15.75" customHeight="1">
      <c r="A21" s="7" t="s">
        <v>78</v>
      </c>
      <c r="B21" s="7" t="s">
        <v>326</v>
      </c>
      <c r="C21" s="7" t="s">
        <v>327</v>
      </c>
      <c r="D21" s="7" t="s">
        <v>87</v>
      </c>
      <c r="E21" s="7" t="s">
        <v>89</v>
      </c>
      <c r="F21" s="7" t="s">
        <v>128</v>
      </c>
      <c r="G21" s="7" t="s">
        <v>93</v>
      </c>
      <c r="H21" s="7" t="s">
        <v>250</v>
      </c>
      <c r="I21" s="7"/>
      <c r="J21" s="7" t="s">
        <v>98</v>
      </c>
      <c r="K21" s="7">
        <v>0.634371188750986</v>
      </c>
      <c r="L21" s="7" t="s">
        <v>88</v>
      </c>
      <c r="M21" s="16" t="s">
        <v>83</v>
      </c>
      <c r="N21" s="5"/>
      <c r="O21" s="5"/>
      <c r="P21" s="5"/>
      <c r="Q21" s="5"/>
      <c r="R21" s="5"/>
      <c r="S21" s="5"/>
      <c r="T21" s="5"/>
      <c r="U21" s="5"/>
      <c r="V21" s="5"/>
      <c r="W21" s="5"/>
      <c r="X21" s="5"/>
      <c r="Y21" s="5"/>
      <c r="Z21" s="5"/>
    </row>
    <row r="22" ht="15.75" customHeight="1">
      <c r="A22" s="7" t="s">
        <v>78</v>
      </c>
      <c r="B22" s="7" t="s">
        <v>334</v>
      </c>
      <c r="C22" s="7" t="s">
        <v>335</v>
      </c>
      <c r="D22" s="7" t="s">
        <v>126</v>
      </c>
      <c r="E22" s="7" t="s">
        <v>127</v>
      </c>
      <c r="F22" s="7" t="s">
        <v>91</v>
      </c>
      <c r="G22" s="7" t="s">
        <v>130</v>
      </c>
      <c r="H22" s="7"/>
      <c r="I22" s="7"/>
      <c r="J22" s="7" t="s">
        <v>134</v>
      </c>
      <c r="K22" s="7" t="s">
        <v>135</v>
      </c>
      <c r="L22" s="7" t="s">
        <v>88</v>
      </c>
      <c r="M22" s="16" t="s">
        <v>83</v>
      </c>
      <c r="N22" s="5"/>
      <c r="O22" s="5"/>
      <c r="P22" s="5"/>
      <c r="Q22" s="5"/>
      <c r="R22" s="5"/>
      <c r="S22" s="5"/>
      <c r="T22" s="5"/>
      <c r="U22" s="5"/>
      <c r="V22" s="5"/>
      <c r="W22" s="5"/>
      <c r="X22" s="5"/>
      <c r="Y22" s="5"/>
      <c r="Z22" s="5"/>
    </row>
    <row r="23" ht="15.75" customHeight="1">
      <c r="A23" s="7" t="s">
        <v>78</v>
      </c>
      <c r="B23" s="7" t="s">
        <v>344</v>
      </c>
      <c r="C23" s="7" t="s">
        <v>345</v>
      </c>
      <c r="D23" s="7" t="s">
        <v>126</v>
      </c>
      <c r="E23" s="7" t="s">
        <v>127</v>
      </c>
      <c r="F23" s="7" t="s">
        <v>92</v>
      </c>
      <c r="G23" s="7" t="s">
        <v>130</v>
      </c>
      <c r="H23" s="7"/>
      <c r="I23" s="7"/>
      <c r="J23" s="7" t="s">
        <v>134</v>
      </c>
      <c r="K23" s="7" t="s">
        <v>135</v>
      </c>
      <c r="L23" s="7" t="s">
        <v>88</v>
      </c>
      <c r="M23" s="16" t="s">
        <v>83</v>
      </c>
      <c r="N23" s="5"/>
      <c r="O23" s="5"/>
      <c r="P23" s="5"/>
      <c r="Q23" s="5"/>
      <c r="R23" s="5"/>
      <c r="S23" s="5"/>
      <c r="T23" s="5"/>
      <c r="U23" s="5"/>
      <c r="V23" s="5"/>
      <c r="W23" s="5"/>
      <c r="X23" s="5"/>
      <c r="Y23" s="5"/>
      <c r="Z23" s="5"/>
    </row>
    <row r="24" ht="15.75" customHeight="1">
      <c r="A24" s="7" t="s">
        <v>78</v>
      </c>
      <c r="B24" s="7" t="s">
        <v>349</v>
      </c>
      <c r="C24" s="7" t="s">
        <v>350</v>
      </c>
      <c r="D24" s="7" t="s">
        <v>349</v>
      </c>
      <c r="E24" s="7" t="s">
        <v>89</v>
      </c>
      <c r="F24" s="7" t="s">
        <v>128</v>
      </c>
      <c r="G24" s="7" t="s">
        <v>93</v>
      </c>
      <c r="H24" s="7" t="s">
        <v>352</v>
      </c>
      <c r="I24" s="7"/>
      <c r="J24" s="7" t="s">
        <v>98</v>
      </c>
      <c r="K24" s="7">
        <v>0.630678490755459</v>
      </c>
      <c r="L24" s="7" t="s">
        <v>88</v>
      </c>
      <c r="M24" s="16" t="s">
        <v>203</v>
      </c>
      <c r="N24" s="5"/>
      <c r="O24" s="5"/>
      <c r="P24" s="5"/>
      <c r="Q24" s="5"/>
      <c r="R24" s="5"/>
      <c r="S24" s="5"/>
      <c r="T24" s="5"/>
      <c r="U24" s="5"/>
      <c r="V24" s="5"/>
      <c r="W24" s="5"/>
      <c r="X24" s="5"/>
      <c r="Y24" s="5"/>
      <c r="Z24" s="5"/>
    </row>
    <row r="25" ht="15.75" customHeight="1">
      <c r="A25" s="7" t="s">
        <v>78</v>
      </c>
      <c r="B25" s="7" t="s">
        <v>361</v>
      </c>
      <c r="C25" s="7" t="s">
        <v>363</v>
      </c>
      <c r="D25" s="7" t="s">
        <v>349</v>
      </c>
      <c r="E25" s="7" t="s">
        <v>89</v>
      </c>
      <c r="F25" s="7" t="s">
        <v>145</v>
      </c>
      <c r="G25" s="7" t="s">
        <v>156</v>
      </c>
      <c r="H25" s="7" t="s">
        <v>364</v>
      </c>
      <c r="I25" s="7"/>
      <c r="J25" s="7" t="s">
        <v>98</v>
      </c>
      <c r="K25" s="7">
        <v>0.834808130366217</v>
      </c>
      <c r="L25" s="7" t="s">
        <v>88</v>
      </c>
      <c r="M25" s="16" t="s">
        <v>203</v>
      </c>
      <c r="N25" s="5"/>
      <c r="O25" s="5"/>
      <c r="P25" s="5"/>
      <c r="Q25" s="5"/>
      <c r="R25" s="5"/>
      <c r="S25" s="5"/>
      <c r="T25" s="5"/>
      <c r="U25" s="5"/>
      <c r="V25" s="5"/>
      <c r="W25" s="5"/>
      <c r="X25" s="5"/>
      <c r="Y25" s="5"/>
      <c r="Z25" s="5"/>
    </row>
    <row r="26" ht="15.75" customHeight="1">
      <c r="A26" s="7" t="s">
        <v>78</v>
      </c>
      <c r="B26" s="7" t="s">
        <v>367</v>
      </c>
      <c r="C26" s="7" t="s">
        <v>368</v>
      </c>
      <c r="D26" s="7" t="s">
        <v>349</v>
      </c>
      <c r="E26" s="7" t="s">
        <v>89</v>
      </c>
      <c r="F26" s="7" t="s">
        <v>92</v>
      </c>
      <c r="G26" s="7" t="s">
        <v>156</v>
      </c>
      <c r="H26" s="7" t="s">
        <v>373</v>
      </c>
      <c r="I26" s="7"/>
      <c r="J26" s="7" t="s">
        <v>155</v>
      </c>
      <c r="K26" s="7">
        <v>0.871535680814031</v>
      </c>
      <c r="L26" s="7" t="s">
        <v>88</v>
      </c>
      <c r="M26" s="16" t="s">
        <v>203</v>
      </c>
      <c r="N26" s="5"/>
      <c r="O26" s="5"/>
      <c r="P26" s="5"/>
      <c r="Q26" s="5"/>
      <c r="R26" s="5"/>
      <c r="S26" s="5"/>
      <c r="T26" s="5"/>
      <c r="U26" s="5"/>
      <c r="V26" s="5"/>
      <c r="W26" s="5"/>
      <c r="X26" s="5"/>
      <c r="Y26" s="5"/>
      <c r="Z26" s="5"/>
    </row>
    <row r="27" ht="15.75" customHeight="1">
      <c r="A27" s="7" t="s">
        <v>78</v>
      </c>
      <c r="B27" s="7" t="s">
        <v>382</v>
      </c>
      <c r="C27" s="7" t="s">
        <v>383</v>
      </c>
      <c r="D27" s="7" t="s">
        <v>349</v>
      </c>
      <c r="E27" s="7" t="s">
        <v>152</v>
      </c>
      <c r="F27" s="7" t="s">
        <v>145</v>
      </c>
      <c r="G27" s="7" t="s">
        <v>156</v>
      </c>
      <c r="H27" s="7" t="s">
        <v>182</v>
      </c>
      <c r="I27" s="7"/>
      <c r="J27" s="7" t="s">
        <v>155</v>
      </c>
      <c r="K27" s="7">
        <v>0.652528294050462</v>
      </c>
      <c r="L27" s="7" t="s">
        <v>88</v>
      </c>
      <c r="M27" s="16" t="s">
        <v>203</v>
      </c>
      <c r="N27" s="5"/>
      <c r="O27" s="5"/>
      <c r="P27" s="5"/>
      <c r="Q27" s="5"/>
      <c r="R27" s="5"/>
      <c r="S27" s="5"/>
      <c r="T27" s="5"/>
      <c r="U27" s="5"/>
      <c r="V27" s="5"/>
      <c r="W27" s="5"/>
      <c r="X27" s="5"/>
      <c r="Y27" s="5"/>
      <c r="Z27" s="5"/>
    </row>
    <row r="28" ht="15.75" customHeight="1">
      <c r="A28" s="7" t="s">
        <v>78</v>
      </c>
      <c r="B28" s="7" t="s">
        <v>393</v>
      </c>
      <c r="C28" s="7" t="s">
        <v>395</v>
      </c>
      <c r="D28" s="7" t="s">
        <v>349</v>
      </c>
      <c r="E28" s="7" t="s">
        <v>89</v>
      </c>
      <c r="F28" s="7" t="s">
        <v>128</v>
      </c>
      <c r="G28" s="7" t="s">
        <v>156</v>
      </c>
      <c r="H28" s="7" t="s">
        <v>250</v>
      </c>
      <c r="I28" s="7"/>
      <c r="J28" s="7" t="s">
        <v>155</v>
      </c>
      <c r="K28" s="7">
        <v>0.798958811820548</v>
      </c>
      <c r="L28" s="7" t="s">
        <v>88</v>
      </c>
      <c r="M28" s="16" t="s">
        <v>203</v>
      </c>
      <c r="N28" s="5"/>
      <c r="O28" s="5"/>
      <c r="P28" s="5"/>
      <c r="Q28" s="5"/>
      <c r="R28" s="5"/>
      <c r="S28" s="5"/>
      <c r="T28" s="5"/>
      <c r="U28" s="5"/>
      <c r="V28" s="5"/>
      <c r="W28" s="5"/>
      <c r="X28" s="5"/>
      <c r="Y28" s="5"/>
      <c r="Z28" s="5"/>
    </row>
    <row r="29" ht="15.75" customHeight="1">
      <c r="A29" s="7" t="s">
        <v>78</v>
      </c>
      <c r="B29" s="7" t="s">
        <v>399</v>
      </c>
      <c r="C29" s="7" t="s">
        <v>401</v>
      </c>
      <c r="D29" s="7" t="s">
        <v>403</v>
      </c>
      <c r="E29" s="7" t="s">
        <v>89</v>
      </c>
      <c r="F29" s="7" t="s">
        <v>145</v>
      </c>
      <c r="G29" s="7" t="s">
        <v>93</v>
      </c>
      <c r="H29" s="7" t="s">
        <v>249</v>
      </c>
      <c r="I29" s="7"/>
      <c r="J29" s="7" t="s">
        <v>155</v>
      </c>
      <c r="K29" s="7">
        <v>0.721591529309027</v>
      </c>
      <c r="L29" s="7" t="s">
        <v>88</v>
      </c>
      <c r="M29" s="16" t="s">
        <v>247</v>
      </c>
      <c r="N29" s="5"/>
      <c r="O29" s="5"/>
      <c r="P29" s="5"/>
      <c r="Q29" s="5"/>
      <c r="R29" s="5"/>
      <c r="S29" s="5"/>
      <c r="T29" s="5"/>
      <c r="U29" s="5"/>
      <c r="V29" s="5"/>
      <c r="W29" s="5"/>
      <c r="X29" s="5"/>
      <c r="Y29" s="5"/>
      <c r="Z29" s="5"/>
    </row>
    <row r="30" ht="15.75" customHeight="1">
      <c r="A30" s="7" t="s">
        <v>78</v>
      </c>
      <c r="B30" s="7" t="s">
        <v>408</v>
      </c>
      <c r="C30" s="7" t="s">
        <v>409</v>
      </c>
      <c r="D30" s="7" t="s">
        <v>403</v>
      </c>
      <c r="E30" s="7" t="s">
        <v>89</v>
      </c>
      <c r="F30" s="7" t="s">
        <v>145</v>
      </c>
      <c r="G30" s="7" t="s">
        <v>156</v>
      </c>
      <c r="H30" s="7" t="s">
        <v>96</v>
      </c>
      <c r="I30" s="7"/>
      <c r="J30" s="7" t="s">
        <v>415</v>
      </c>
      <c r="K30" s="7">
        <v>0.429295061207261</v>
      </c>
      <c r="L30" s="7" t="s">
        <v>88</v>
      </c>
      <c r="M30" s="16" t="s">
        <v>247</v>
      </c>
      <c r="N30" s="5"/>
      <c r="O30" s="5"/>
      <c r="P30" s="5"/>
      <c r="Q30" s="5"/>
      <c r="R30" s="5"/>
      <c r="S30" s="5"/>
      <c r="T30" s="5"/>
      <c r="U30" s="5"/>
      <c r="V30" s="5"/>
      <c r="W30" s="5"/>
      <c r="X30" s="5"/>
      <c r="Y30" s="5"/>
      <c r="Z30" s="5"/>
    </row>
    <row r="31" ht="15.75" customHeight="1">
      <c r="A31" s="7" t="s">
        <v>78</v>
      </c>
      <c r="B31" s="7" t="s">
        <v>418</v>
      </c>
      <c r="C31" s="7" t="s">
        <v>419</v>
      </c>
      <c r="D31" s="7" t="s">
        <v>403</v>
      </c>
      <c r="E31" s="7" t="s">
        <v>89</v>
      </c>
      <c r="F31" s="7" t="s">
        <v>145</v>
      </c>
      <c r="G31" s="7" t="s">
        <v>93</v>
      </c>
      <c r="H31" s="7" t="s">
        <v>249</v>
      </c>
      <c r="I31" s="7"/>
      <c r="J31" s="7" t="s">
        <v>183</v>
      </c>
      <c r="K31" s="7">
        <v>0.556393854901318</v>
      </c>
      <c r="L31" s="7" t="s">
        <v>135</v>
      </c>
      <c r="M31" s="16" t="s">
        <v>247</v>
      </c>
      <c r="N31" s="5"/>
      <c r="O31" s="5"/>
      <c r="P31" s="5"/>
      <c r="Q31" s="5"/>
      <c r="R31" s="5"/>
      <c r="S31" s="5"/>
      <c r="T31" s="5"/>
      <c r="U31" s="5"/>
      <c r="V31" s="5"/>
      <c r="W31" s="5"/>
      <c r="X31" s="5"/>
      <c r="Y31" s="5"/>
      <c r="Z31" s="5"/>
    </row>
    <row r="32" ht="15.75" customHeight="1">
      <c r="A32" s="7" t="s">
        <v>78</v>
      </c>
      <c r="B32" s="7" t="s">
        <v>425</v>
      </c>
      <c r="C32" s="7" t="s">
        <v>426</v>
      </c>
      <c r="D32" s="7" t="s">
        <v>403</v>
      </c>
      <c r="E32" s="7" t="s">
        <v>89</v>
      </c>
      <c r="F32" s="7" t="s">
        <v>145</v>
      </c>
      <c r="G32" s="7" t="s">
        <v>130</v>
      </c>
      <c r="H32" s="7"/>
      <c r="I32" s="7"/>
      <c r="J32" s="7" t="s">
        <v>134</v>
      </c>
      <c r="K32" s="7">
        <v>0.292278238672623</v>
      </c>
      <c r="L32" s="7" t="s">
        <v>88</v>
      </c>
      <c r="M32" s="16" t="s">
        <v>247</v>
      </c>
      <c r="N32" s="5"/>
      <c r="O32" s="5"/>
      <c r="P32" s="5"/>
      <c r="Q32" s="5"/>
      <c r="R32" s="5"/>
      <c r="S32" s="5"/>
      <c r="T32" s="5"/>
      <c r="U32" s="5"/>
      <c r="V32" s="5"/>
      <c r="W32" s="5"/>
      <c r="X32" s="5"/>
      <c r="Y32" s="5"/>
      <c r="Z32" s="5"/>
    </row>
    <row r="33" ht="15.75" customHeight="1">
      <c r="A33" s="7" t="s">
        <v>78</v>
      </c>
      <c r="B33" s="7" t="s">
        <v>427</v>
      </c>
      <c r="C33" s="7" t="s">
        <v>428</v>
      </c>
      <c r="D33" s="7" t="s">
        <v>403</v>
      </c>
      <c r="E33" s="7" t="s">
        <v>89</v>
      </c>
      <c r="F33" s="7" t="s">
        <v>145</v>
      </c>
      <c r="G33" s="7" t="s">
        <v>94</v>
      </c>
      <c r="H33" s="7"/>
      <c r="I33" s="7"/>
      <c r="J33" s="7" t="s">
        <v>155</v>
      </c>
      <c r="K33" s="7" t="s">
        <v>135</v>
      </c>
      <c r="L33" s="7" t="s">
        <v>88</v>
      </c>
      <c r="M33" s="16" t="s">
        <v>247</v>
      </c>
      <c r="N33" s="5"/>
      <c r="O33" s="5"/>
      <c r="P33" s="5"/>
      <c r="Q33" s="5"/>
      <c r="R33" s="5"/>
      <c r="S33" s="5"/>
      <c r="T33" s="5"/>
      <c r="U33" s="5"/>
      <c r="V33" s="5"/>
      <c r="W33" s="5"/>
      <c r="X33" s="5"/>
      <c r="Y33" s="5"/>
      <c r="Z33" s="5"/>
    </row>
    <row r="34" ht="15.75" customHeight="1">
      <c r="A34" s="7" t="s">
        <v>78</v>
      </c>
      <c r="B34" s="7" t="s">
        <v>433</v>
      </c>
      <c r="C34" s="7" t="s">
        <v>434</v>
      </c>
      <c r="D34" s="7" t="s">
        <v>290</v>
      </c>
      <c r="E34" s="7" t="s">
        <v>89</v>
      </c>
      <c r="F34" s="7" t="s">
        <v>128</v>
      </c>
      <c r="G34" s="7" t="s">
        <v>93</v>
      </c>
      <c r="H34" s="7" t="s">
        <v>364</v>
      </c>
      <c r="I34" s="7"/>
      <c r="J34" s="7" t="s">
        <v>98</v>
      </c>
      <c r="K34" s="7">
        <v>0.803553572802092</v>
      </c>
      <c r="L34" s="7" t="s">
        <v>88</v>
      </c>
      <c r="M34" s="16" t="s">
        <v>290</v>
      </c>
      <c r="N34" s="5"/>
      <c r="O34" s="5"/>
      <c r="P34" s="5"/>
      <c r="Q34" s="5"/>
      <c r="R34" s="5"/>
      <c r="S34" s="5"/>
      <c r="T34" s="5"/>
      <c r="U34" s="5"/>
      <c r="V34" s="5"/>
      <c r="W34" s="5"/>
      <c r="X34" s="5"/>
      <c r="Y34" s="5"/>
      <c r="Z34" s="5"/>
    </row>
    <row r="35" ht="15.75" customHeight="1">
      <c r="A35" s="7" t="s">
        <v>78</v>
      </c>
      <c r="B35" s="7" t="s">
        <v>435</v>
      </c>
      <c r="C35" s="7" t="s">
        <v>436</v>
      </c>
      <c r="D35" s="7" t="s">
        <v>290</v>
      </c>
      <c r="E35" s="7" t="s">
        <v>89</v>
      </c>
      <c r="F35" s="7" t="s">
        <v>128</v>
      </c>
      <c r="G35" s="7" t="s">
        <v>156</v>
      </c>
      <c r="H35" s="7" t="s">
        <v>441</v>
      </c>
      <c r="I35" s="7"/>
      <c r="J35" s="7" t="s">
        <v>155</v>
      </c>
      <c r="K35" s="7">
        <v>0.857718922686315</v>
      </c>
      <c r="L35" s="7" t="s">
        <v>88</v>
      </c>
      <c r="M35" s="16" t="s">
        <v>290</v>
      </c>
      <c r="N35" s="5"/>
      <c r="O35" s="5"/>
      <c r="P35" s="5"/>
      <c r="Q35" s="5"/>
      <c r="R35" s="5"/>
      <c r="S35" s="5"/>
      <c r="T35" s="5"/>
      <c r="U35" s="5"/>
      <c r="V35" s="5"/>
      <c r="W35" s="5"/>
      <c r="X35" s="5"/>
      <c r="Y35" s="5"/>
      <c r="Z35" s="5"/>
    </row>
    <row r="36" ht="15.75" customHeight="1">
      <c r="A36" s="7" t="s">
        <v>78</v>
      </c>
      <c r="B36" s="7" t="s">
        <v>444</v>
      </c>
      <c r="C36" s="7" t="s">
        <v>446</v>
      </c>
      <c r="D36" s="7" t="s">
        <v>290</v>
      </c>
      <c r="E36" s="7" t="s">
        <v>89</v>
      </c>
      <c r="F36" s="7" t="s">
        <v>128</v>
      </c>
      <c r="G36" s="7" t="s">
        <v>156</v>
      </c>
      <c r="H36" s="7" t="s">
        <v>182</v>
      </c>
      <c r="I36" s="7"/>
      <c r="J36" s="7" t="s">
        <v>415</v>
      </c>
      <c r="K36" s="7">
        <v>0.799937626695774</v>
      </c>
      <c r="L36" s="7" t="s">
        <v>135</v>
      </c>
      <c r="M36" s="16" t="s">
        <v>290</v>
      </c>
      <c r="N36" s="5"/>
      <c r="O36" s="5"/>
      <c r="P36" s="5"/>
      <c r="Q36" s="5"/>
      <c r="R36" s="5"/>
      <c r="S36" s="5"/>
      <c r="T36" s="5"/>
      <c r="U36" s="5"/>
      <c r="V36" s="5"/>
      <c r="W36" s="5"/>
      <c r="X36" s="5"/>
      <c r="Y36" s="5"/>
      <c r="Z36" s="5"/>
    </row>
    <row r="37" ht="15.75" customHeight="1">
      <c r="A37" s="7" t="s">
        <v>78</v>
      </c>
      <c r="B37" s="7" t="s">
        <v>450</v>
      </c>
      <c r="C37" s="7" t="s">
        <v>451</v>
      </c>
      <c r="D37" s="7" t="s">
        <v>290</v>
      </c>
      <c r="E37" s="7" t="s">
        <v>152</v>
      </c>
      <c r="F37" s="7" t="s">
        <v>128</v>
      </c>
      <c r="G37" s="7" t="s">
        <v>93</v>
      </c>
      <c r="H37" s="7" t="s">
        <v>118</v>
      </c>
      <c r="I37" s="7"/>
      <c r="J37" s="7" t="s">
        <v>155</v>
      </c>
      <c r="K37" s="7">
        <v>0.818091802814909</v>
      </c>
      <c r="L37" s="7" t="s">
        <v>88</v>
      </c>
      <c r="M37" s="16" t="s">
        <v>290</v>
      </c>
      <c r="N37" s="5"/>
      <c r="O37" s="5"/>
      <c r="P37" s="5"/>
      <c r="Q37" s="5"/>
      <c r="R37" s="5"/>
      <c r="S37" s="5"/>
      <c r="T37" s="5"/>
      <c r="U37" s="5"/>
      <c r="V37" s="5"/>
      <c r="W37" s="5"/>
      <c r="X37" s="5"/>
      <c r="Y37" s="5"/>
      <c r="Z37" s="5"/>
    </row>
    <row r="38" ht="15.75" customHeight="1">
      <c r="A38" s="7" t="s">
        <v>78</v>
      </c>
      <c r="B38" s="7" t="s">
        <v>457</v>
      </c>
      <c r="C38" s="7" t="s">
        <v>460</v>
      </c>
      <c r="D38" s="7" t="s">
        <v>290</v>
      </c>
      <c r="E38" s="7" t="s">
        <v>89</v>
      </c>
      <c r="F38" s="7" t="s">
        <v>91</v>
      </c>
      <c r="G38" s="7" t="s">
        <v>156</v>
      </c>
      <c r="H38" s="7" t="s">
        <v>182</v>
      </c>
      <c r="I38" s="7"/>
      <c r="J38" s="7" t="s">
        <v>415</v>
      </c>
      <c r="K38" s="7">
        <v>0.851164305487706</v>
      </c>
      <c r="L38" s="7" t="s">
        <v>88</v>
      </c>
      <c r="M38" s="16" t="s">
        <v>290</v>
      </c>
      <c r="N38" s="5"/>
      <c r="O38" s="5"/>
      <c r="P38" s="5"/>
      <c r="Q38" s="5"/>
      <c r="R38" s="5"/>
      <c r="S38" s="5"/>
      <c r="T38" s="5"/>
      <c r="U38" s="5"/>
      <c r="V38" s="5"/>
      <c r="W38" s="5"/>
      <c r="X38" s="5"/>
      <c r="Y38" s="5"/>
      <c r="Z38" s="5"/>
    </row>
    <row r="39" ht="15.75" customHeight="1">
      <c r="A39" s="7" t="s">
        <v>78</v>
      </c>
      <c r="B39" s="7" t="s">
        <v>465</v>
      </c>
      <c r="C39" s="7" t="s">
        <v>466</v>
      </c>
      <c r="D39" s="7" t="s">
        <v>290</v>
      </c>
      <c r="E39" s="7" t="s">
        <v>89</v>
      </c>
      <c r="F39" s="7" t="s">
        <v>145</v>
      </c>
      <c r="G39" s="7" t="s">
        <v>156</v>
      </c>
      <c r="H39" s="7" t="s">
        <v>118</v>
      </c>
      <c r="I39" s="7"/>
      <c r="J39" s="7" t="s">
        <v>134</v>
      </c>
      <c r="K39" s="7">
        <v>0.86547556489753</v>
      </c>
      <c r="L39" s="7" t="s">
        <v>88</v>
      </c>
      <c r="M39" s="16" t="s">
        <v>290</v>
      </c>
      <c r="N39" s="5"/>
      <c r="O39" s="5"/>
      <c r="P39" s="5"/>
      <c r="Q39" s="5"/>
      <c r="R39" s="5"/>
      <c r="S39" s="5"/>
      <c r="T39" s="5"/>
      <c r="U39" s="5"/>
      <c r="V39" s="5"/>
      <c r="W39" s="5"/>
      <c r="X39" s="5"/>
      <c r="Y39" s="5"/>
      <c r="Z39" s="5"/>
    </row>
    <row r="40" ht="15.75" customHeight="1">
      <c r="A40" s="7" t="s">
        <v>78</v>
      </c>
      <c r="B40" s="7" t="s">
        <v>467</v>
      </c>
      <c r="C40" s="7" t="s">
        <v>468</v>
      </c>
      <c r="D40" s="7" t="s">
        <v>469</v>
      </c>
      <c r="E40" s="7" t="s">
        <v>89</v>
      </c>
      <c r="F40" s="7" t="s">
        <v>91</v>
      </c>
      <c r="G40" s="7" t="s">
        <v>93</v>
      </c>
      <c r="H40" s="7" t="s">
        <v>96</v>
      </c>
      <c r="I40" s="7"/>
      <c r="J40" s="7" t="s">
        <v>98</v>
      </c>
      <c r="K40" s="7">
        <v>0.980183211815293</v>
      </c>
      <c r="L40" s="7" t="s">
        <v>88</v>
      </c>
      <c r="M40" s="16" t="s">
        <v>473</v>
      </c>
      <c r="N40" s="5"/>
      <c r="O40" s="5"/>
      <c r="P40" s="5"/>
      <c r="Q40" s="5"/>
      <c r="R40" s="5"/>
      <c r="S40" s="5"/>
      <c r="T40" s="5"/>
      <c r="U40" s="5"/>
      <c r="V40" s="5"/>
      <c r="W40" s="5"/>
      <c r="X40" s="5"/>
      <c r="Y40" s="5"/>
      <c r="Z40" s="5"/>
    </row>
    <row r="41" ht="15.75" customHeight="1">
      <c r="A41" s="7" t="s">
        <v>78</v>
      </c>
      <c r="B41" s="7" t="s">
        <v>474</v>
      </c>
      <c r="C41" s="7" t="s">
        <v>475</v>
      </c>
      <c r="D41" s="7" t="s">
        <v>469</v>
      </c>
      <c r="E41" s="7" t="s">
        <v>152</v>
      </c>
      <c r="F41" s="7" t="s">
        <v>92</v>
      </c>
      <c r="G41" s="7" t="s">
        <v>93</v>
      </c>
      <c r="H41" s="7" t="s">
        <v>249</v>
      </c>
      <c r="I41" s="7"/>
      <c r="J41" s="7" t="s">
        <v>183</v>
      </c>
      <c r="K41" s="7">
        <v>0.985043949065873</v>
      </c>
      <c r="L41" s="7" t="s">
        <v>88</v>
      </c>
      <c r="M41" s="16" t="s">
        <v>473</v>
      </c>
      <c r="N41" s="5"/>
      <c r="O41" s="5"/>
      <c r="P41" s="5"/>
      <c r="Q41" s="5"/>
      <c r="R41" s="5"/>
      <c r="S41" s="5"/>
      <c r="T41" s="5"/>
      <c r="U41" s="5"/>
      <c r="V41" s="5"/>
      <c r="W41" s="5"/>
      <c r="X41" s="5"/>
      <c r="Y41" s="5"/>
      <c r="Z41" s="5"/>
    </row>
    <row r="42" ht="15.75" customHeight="1">
      <c r="A42" s="7" t="s">
        <v>78</v>
      </c>
      <c r="B42" s="7" t="s">
        <v>482</v>
      </c>
      <c r="C42" s="7" t="s">
        <v>483</v>
      </c>
      <c r="D42" s="7" t="s">
        <v>484</v>
      </c>
      <c r="E42" s="7" t="s">
        <v>89</v>
      </c>
      <c r="F42" s="7" t="s">
        <v>145</v>
      </c>
      <c r="G42" s="7" t="s">
        <v>93</v>
      </c>
      <c r="H42" s="7" t="s">
        <v>118</v>
      </c>
      <c r="I42" s="7"/>
      <c r="J42" s="7" t="s">
        <v>415</v>
      </c>
      <c r="K42" s="7" t="s">
        <v>135</v>
      </c>
      <c r="L42" s="7" t="s">
        <v>135</v>
      </c>
      <c r="M42" s="16" t="s">
        <v>485</v>
      </c>
      <c r="N42" s="5"/>
      <c r="O42" s="5"/>
      <c r="P42" s="5"/>
      <c r="Q42" s="5"/>
      <c r="R42" s="5"/>
      <c r="S42" s="5"/>
      <c r="T42" s="5"/>
      <c r="U42" s="5"/>
      <c r="V42" s="5"/>
      <c r="W42" s="5"/>
      <c r="X42" s="5"/>
      <c r="Y42" s="5"/>
      <c r="Z42" s="5"/>
    </row>
    <row r="43" ht="15.75" customHeight="1">
      <c r="A43" s="7" t="s">
        <v>78</v>
      </c>
      <c r="B43" s="7" t="s">
        <v>488</v>
      </c>
      <c r="C43" s="7" t="s">
        <v>490</v>
      </c>
      <c r="D43" s="7" t="s">
        <v>484</v>
      </c>
      <c r="E43" s="7" t="s">
        <v>152</v>
      </c>
      <c r="F43" s="7" t="s">
        <v>145</v>
      </c>
      <c r="G43" s="7" t="s">
        <v>156</v>
      </c>
      <c r="H43" s="7" t="s">
        <v>118</v>
      </c>
      <c r="I43" s="7"/>
      <c r="J43" s="7" t="s">
        <v>155</v>
      </c>
      <c r="K43" s="7">
        <v>0.378323108384458</v>
      </c>
      <c r="L43" s="7" t="s">
        <v>88</v>
      </c>
      <c r="M43" s="16" t="s">
        <v>485</v>
      </c>
      <c r="N43" s="5"/>
      <c r="O43" s="5"/>
      <c r="P43" s="5"/>
      <c r="Q43" s="5"/>
      <c r="R43" s="5"/>
      <c r="S43" s="5"/>
      <c r="T43" s="5"/>
      <c r="U43" s="5"/>
      <c r="V43" s="5"/>
      <c r="W43" s="5"/>
      <c r="X43" s="5"/>
      <c r="Y43" s="5"/>
      <c r="Z43" s="5"/>
    </row>
    <row r="44" ht="15.75" customHeight="1">
      <c r="A44" s="7" t="s">
        <v>78</v>
      </c>
      <c r="B44" s="7" t="s">
        <v>498</v>
      </c>
      <c r="C44" s="7" t="s">
        <v>500</v>
      </c>
      <c r="D44" s="7" t="s">
        <v>484</v>
      </c>
      <c r="E44" s="7" t="s">
        <v>89</v>
      </c>
      <c r="F44" s="7" t="s">
        <v>92</v>
      </c>
      <c r="G44" s="7" t="s">
        <v>93</v>
      </c>
      <c r="H44" s="7" t="s">
        <v>405</v>
      </c>
      <c r="I44" s="7"/>
      <c r="J44" s="7" t="s">
        <v>98</v>
      </c>
      <c r="K44" s="7">
        <v>0.383415841584158</v>
      </c>
      <c r="L44" s="7" t="s">
        <v>88</v>
      </c>
      <c r="M44" s="16" t="s">
        <v>485</v>
      </c>
      <c r="N44" s="5"/>
      <c r="O44" s="5"/>
      <c r="P44" s="5"/>
      <c r="Q44" s="5"/>
      <c r="R44" s="5"/>
      <c r="S44" s="5"/>
      <c r="T44" s="5"/>
      <c r="U44" s="5"/>
      <c r="V44" s="5"/>
      <c r="W44" s="5"/>
      <c r="X44" s="5"/>
      <c r="Y44" s="5"/>
      <c r="Z44" s="5"/>
    </row>
    <row r="45" ht="15.75" customHeight="1">
      <c r="A45" s="7" t="s">
        <v>78</v>
      </c>
      <c r="B45" s="7" t="s">
        <v>505</v>
      </c>
      <c r="C45" s="7" t="s">
        <v>507</v>
      </c>
      <c r="D45" s="7" t="s">
        <v>484</v>
      </c>
      <c r="E45" s="7" t="s">
        <v>152</v>
      </c>
      <c r="F45" s="7" t="s">
        <v>128</v>
      </c>
      <c r="G45" s="7" t="s">
        <v>156</v>
      </c>
      <c r="H45" s="7" t="s">
        <v>364</v>
      </c>
      <c r="I45" s="7"/>
      <c r="J45" s="7" t="s">
        <v>134</v>
      </c>
      <c r="K45" s="7">
        <v>0.0444444444444444</v>
      </c>
      <c r="L45" s="7" t="s">
        <v>88</v>
      </c>
      <c r="M45" s="16" t="s">
        <v>485</v>
      </c>
      <c r="N45" s="5"/>
      <c r="O45" s="5"/>
      <c r="P45" s="5"/>
      <c r="Q45" s="5"/>
      <c r="R45" s="5"/>
      <c r="S45" s="5"/>
      <c r="T45" s="5"/>
      <c r="U45" s="5"/>
      <c r="V45" s="5"/>
      <c r="W45" s="5"/>
      <c r="X45" s="5"/>
      <c r="Y45" s="5"/>
      <c r="Z45" s="5"/>
    </row>
    <row r="46" ht="15.75" customHeight="1">
      <c r="A46" s="7" t="s">
        <v>78</v>
      </c>
      <c r="B46" s="7" t="s">
        <v>511</v>
      </c>
      <c r="C46" s="7" t="s">
        <v>512</v>
      </c>
      <c r="D46" s="7" t="s">
        <v>484</v>
      </c>
      <c r="E46" s="7" t="s">
        <v>152</v>
      </c>
      <c r="F46" s="7" t="s">
        <v>128</v>
      </c>
      <c r="G46" s="7" t="s">
        <v>93</v>
      </c>
      <c r="H46" s="7" t="s">
        <v>513</v>
      </c>
      <c r="I46" s="7"/>
      <c r="J46" s="7" t="s">
        <v>155</v>
      </c>
      <c r="K46" s="7">
        <v>0.368269603231697</v>
      </c>
      <c r="L46" s="7" t="s">
        <v>88</v>
      </c>
      <c r="M46" s="16" t="s">
        <v>485</v>
      </c>
      <c r="N46" s="5"/>
      <c r="O46" s="5"/>
      <c r="P46" s="5"/>
      <c r="Q46" s="5"/>
      <c r="R46" s="5"/>
      <c r="S46" s="5"/>
      <c r="T46" s="5"/>
      <c r="U46" s="5"/>
      <c r="V46" s="5"/>
      <c r="W46" s="5"/>
      <c r="X46" s="5"/>
      <c r="Y46" s="5"/>
      <c r="Z46" s="5"/>
    </row>
    <row r="47" ht="15.75" customHeight="1">
      <c r="A47" s="7" t="s">
        <v>78</v>
      </c>
      <c r="B47" s="7" t="s">
        <v>514</v>
      </c>
      <c r="C47" s="7" t="s">
        <v>515</v>
      </c>
      <c r="D47" s="7" t="s">
        <v>516</v>
      </c>
      <c r="E47" s="7" t="s">
        <v>89</v>
      </c>
      <c r="F47" s="7" t="s">
        <v>145</v>
      </c>
      <c r="G47" s="7" t="s">
        <v>156</v>
      </c>
      <c r="H47" s="7" t="s">
        <v>250</v>
      </c>
      <c r="I47" s="7"/>
      <c r="J47" s="7" t="s">
        <v>134</v>
      </c>
      <c r="K47" s="7" t="s">
        <v>135</v>
      </c>
      <c r="L47" s="7" t="s">
        <v>135</v>
      </c>
      <c r="M47" s="16" t="s">
        <v>374</v>
      </c>
      <c r="N47" s="5"/>
      <c r="O47" s="5"/>
      <c r="P47" s="5"/>
      <c r="Q47" s="5"/>
      <c r="R47" s="5"/>
      <c r="S47" s="5"/>
      <c r="T47" s="5"/>
      <c r="U47" s="5"/>
      <c r="V47" s="5"/>
      <c r="W47" s="5"/>
      <c r="X47" s="5"/>
      <c r="Y47" s="5"/>
      <c r="Z47" s="5"/>
    </row>
    <row r="48" ht="15.75" customHeight="1">
      <c r="A48" s="7" t="s">
        <v>78</v>
      </c>
      <c r="B48" s="7" t="s">
        <v>522</v>
      </c>
      <c r="C48" s="7" t="s">
        <v>523</v>
      </c>
      <c r="D48" s="7" t="s">
        <v>516</v>
      </c>
      <c r="E48" s="7" t="s">
        <v>89</v>
      </c>
      <c r="F48" s="7" t="s">
        <v>145</v>
      </c>
      <c r="G48" s="7" t="s">
        <v>93</v>
      </c>
      <c r="H48" s="7" t="s">
        <v>250</v>
      </c>
      <c r="I48" s="7"/>
      <c r="J48" s="7" t="s">
        <v>98</v>
      </c>
      <c r="K48" s="7">
        <v>0.615932775878403</v>
      </c>
      <c r="L48" s="7" t="s">
        <v>135</v>
      </c>
      <c r="M48" s="16" t="s">
        <v>374</v>
      </c>
      <c r="N48" s="5"/>
      <c r="O48" s="5"/>
      <c r="P48" s="5"/>
      <c r="Q48" s="5"/>
      <c r="R48" s="5"/>
      <c r="S48" s="5"/>
      <c r="T48" s="5"/>
      <c r="U48" s="5"/>
      <c r="V48" s="5"/>
      <c r="W48" s="5"/>
      <c r="X48" s="5"/>
      <c r="Y48" s="5"/>
      <c r="Z48" s="5"/>
    </row>
    <row r="49" ht="15.75" customHeight="1">
      <c r="A49" s="7" t="s">
        <v>78</v>
      </c>
      <c r="B49" s="7" t="s">
        <v>529</v>
      </c>
      <c r="C49" s="7" t="s">
        <v>530</v>
      </c>
      <c r="D49" s="7" t="s">
        <v>529</v>
      </c>
      <c r="E49" s="7" t="s">
        <v>89</v>
      </c>
      <c r="F49" s="7" t="s">
        <v>128</v>
      </c>
      <c r="G49" s="7" t="s">
        <v>94</v>
      </c>
      <c r="H49" s="7"/>
      <c r="I49" s="7"/>
      <c r="J49" s="7" t="s">
        <v>98</v>
      </c>
      <c r="K49" s="7" t="s">
        <v>135</v>
      </c>
      <c r="L49" s="7" t="s">
        <v>72</v>
      </c>
      <c r="M49" s="16" t="s">
        <v>374</v>
      </c>
      <c r="N49" s="5"/>
      <c r="O49" s="5"/>
      <c r="P49" s="5"/>
      <c r="Q49" s="5"/>
      <c r="R49" s="5"/>
      <c r="S49" s="5"/>
      <c r="T49" s="5"/>
      <c r="U49" s="5"/>
      <c r="V49" s="5"/>
      <c r="W49" s="5"/>
      <c r="X49" s="5"/>
      <c r="Y49" s="5"/>
      <c r="Z49" s="5"/>
    </row>
    <row r="50" ht="15.75" customHeight="1">
      <c r="A50" s="7" t="s">
        <v>78</v>
      </c>
      <c r="B50" s="7" t="s">
        <v>531</v>
      </c>
      <c r="C50" s="7" t="s">
        <v>532</v>
      </c>
      <c r="D50" s="7" t="s">
        <v>533</v>
      </c>
      <c r="E50" s="7" t="s">
        <v>127</v>
      </c>
      <c r="F50" s="7" t="s">
        <v>145</v>
      </c>
      <c r="G50" s="7" t="s">
        <v>534</v>
      </c>
      <c r="H50" s="7" t="s">
        <v>118</v>
      </c>
      <c r="I50" s="7"/>
      <c r="J50" s="7" t="s">
        <v>155</v>
      </c>
      <c r="K50" s="7">
        <v>0.466879853814527</v>
      </c>
      <c r="L50" s="7" t="s">
        <v>135</v>
      </c>
      <c r="M50" s="16" t="s">
        <v>404</v>
      </c>
      <c r="N50" s="5"/>
      <c r="O50" s="5"/>
      <c r="P50" s="5"/>
      <c r="Q50" s="5"/>
      <c r="R50" s="5"/>
      <c r="S50" s="5"/>
      <c r="T50" s="5"/>
      <c r="U50" s="5"/>
      <c r="V50" s="5"/>
      <c r="W50" s="5"/>
      <c r="X50" s="5"/>
      <c r="Y50" s="5"/>
      <c r="Z50" s="5"/>
    </row>
    <row r="51" ht="15.75" customHeight="1">
      <c r="A51" s="7" t="s">
        <v>78</v>
      </c>
      <c r="B51" s="7" t="s">
        <v>535</v>
      </c>
      <c r="C51" s="7" t="s">
        <v>536</v>
      </c>
      <c r="D51" s="7" t="s">
        <v>533</v>
      </c>
      <c r="E51" s="7" t="s">
        <v>152</v>
      </c>
      <c r="F51" s="7" t="s">
        <v>145</v>
      </c>
      <c r="G51" s="7" t="s">
        <v>156</v>
      </c>
      <c r="H51" s="7" t="s">
        <v>118</v>
      </c>
      <c r="I51" s="7"/>
      <c r="J51" s="7" t="s">
        <v>155</v>
      </c>
      <c r="K51" s="7">
        <v>0.441219018227409</v>
      </c>
      <c r="L51" s="7" t="s">
        <v>135</v>
      </c>
      <c r="M51" s="16" t="s">
        <v>404</v>
      </c>
      <c r="N51" s="5"/>
      <c r="O51" s="5"/>
      <c r="P51" s="5"/>
      <c r="Q51" s="5"/>
      <c r="R51" s="5"/>
      <c r="S51" s="5"/>
      <c r="T51" s="5"/>
      <c r="U51" s="5"/>
      <c r="V51" s="5"/>
      <c r="W51" s="5"/>
      <c r="X51" s="5"/>
      <c r="Y51" s="5"/>
      <c r="Z51" s="5"/>
    </row>
    <row r="52" ht="15.75" customHeight="1">
      <c r="A52" s="7" t="s">
        <v>78</v>
      </c>
      <c r="B52" s="7" t="s">
        <v>542</v>
      </c>
      <c r="C52" s="7" t="s">
        <v>543</v>
      </c>
      <c r="D52" s="7" t="s">
        <v>533</v>
      </c>
      <c r="E52" s="7" t="s">
        <v>89</v>
      </c>
      <c r="F52" s="7" t="s">
        <v>92</v>
      </c>
      <c r="G52" s="7" t="s">
        <v>93</v>
      </c>
      <c r="H52" s="7" t="s">
        <v>118</v>
      </c>
      <c r="I52" s="7"/>
      <c r="J52" s="7" t="s">
        <v>155</v>
      </c>
      <c r="K52" s="7">
        <v>0.418077914837271</v>
      </c>
      <c r="L52" s="7" t="s">
        <v>88</v>
      </c>
      <c r="M52" s="16" t="s">
        <v>404</v>
      </c>
      <c r="N52" s="5"/>
      <c r="O52" s="5"/>
      <c r="P52" s="5"/>
      <c r="Q52" s="5"/>
      <c r="R52" s="5"/>
      <c r="S52" s="5"/>
      <c r="T52" s="5"/>
      <c r="U52" s="5"/>
      <c r="V52" s="5"/>
      <c r="W52" s="5"/>
      <c r="X52" s="5"/>
      <c r="Y52" s="5"/>
      <c r="Z52" s="5"/>
    </row>
    <row r="53" ht="15.75" customHeight="1">
      <c r="A53" s="7" t="s">
        <v>78</v>
      </c>
      <c r="B53" s="7" t="s">
        <v>549</v>
      </c>
      <c r="C53" s="7" t="s">
        <v>550</v>
      </c>
      <c r="D53" s="7" t="s">
        <v>533</v>
      </c>
      <c r="E53" s="7" t="s">
        <v>89</v>
      </c>
      <c r="F53" s="7" t="s">
        <v>91</v>
      </c>
      <c r="G53" s="7" t="s">
        <v>156</v>
      </c>
      <c r="H53" s="7" t="s">
        <v>118</v>
      </c>
      <c r="I53" s="7"/>
      <c r="J53" s="7" t="s">
        <v>415</v>
      </c>
      <c r="K53" s="7">
        <v>0.8580986295457</v>
      </c>
      <c r="L53" s="7" t="s">
        <v>88</v>
      </c>
      <c r="M53" s="16" t="s">
        <v>404</v>
      </c>
      <c r="N53" s="5"/>
      <c r="O53" s="5"/>
      <c r="P53" s="5"/>
      <c r="Q53" s="5"/>
      <c r="R53" s="5"/>
      <c r="S53" s="5"/>
      <c r="T53" s="5"/>
      <c r="U53" s="5"/>
      <c r="V53" s="5"/>
      <c r="W53" s="5"/>
      <c r="X53" s="5"/>
      <c r="Y53" s="5"/>
      <c r="Z53" s="5"/>
    </row>
    <row r="54" ht="15.75" customHeight="1">
      <c r="A54" s="7" t="s">
        <v>78</v>
      </c>
      <c r="B54" s="7" t="s">
        <v>551</v>
      </c>
      <c r="C54" s="7" t="s">
        <v>552</v>
      </c>
      <c r="D54" s="7" t="s">
        <v>533</v>
      </c>
      <c r="E54" s="7" t="s">
        <v>89</v>
      </c>
      <c r="F54" s="7" t="s">
        <v>92</v>
      </c>
      <c r="G54" s="7" t="s">
        <v>93</v>
      </c>
      <c r="H54" s="7" t="s">
        <v>405</v>
      </c>
      <c r="I54" s="7"/>
      <c r="J54" s="7" t="s">
        <v>415</v>
      </c>
      <c r="K54" s="7">
        <v>0.366421568627451</v>
      </c>
      <c r="L54" s="7" t="s">
        <v>88</v>
      </c>
      <c r="M54" s="16" t="s">
        <v>404</v>
      </c>
      <c r="N54" s="5"/>
      <c r="O54" s="5"/>
      <c r="P54" s="5"/>
      <c r="Q54" s="5"/>
      <c r="R54" s="5"/>
      <c r="S54" s="5"/>
      <c r="T54" s="5"/>
      <c r="U54" s="5"/>
      <c r="V54" s="5"/>
      <c r="W54" s="5"/>
      <c r="X54" s="5"/>
      <c r="Y54" s="5"/>
      <c r="Z54" s="5"/>
    </row>
    <row r="55" ht="15.75" customHeight="1">
      <c r="A55" s="7" t="s">
        <v>78</v>
      </c>
      <c r="B55" s="7" t="s">
        <v>558</v>
      </c>
      <c r="C55" s="7" t="s">
        <v>559</v>
      </c>
      <c r="D55" s="7" t="s">
        <v>561</v>
      </c>
      <c r="E55" s="7" t="s">
        <v>89</v>
      </c>
      <c r="F55" s="7" t="s">
        <v>145</v>
      </c>
      <c r="G55" s="7" t="s">
        <v>94</v>
      </c>
      <c r="H55" s="7"/>
      <c r="I55" s="7"/>
      <c r="J55" s="7" t="s">
        <v>415</v>
      </c>
      <c r="K55" s="7" t="s">
        <v>135</v>
      </c>
      <c r="L55" s="7" t="s">
        <v>135</v>
      </c>
      <c r="M55" s="16" t="s">
        <v>417</v>
      </c>
      <c r="N55" s="5"/>
      <c r="O55" s="5"/>
      <c r="P55" s="5"/>
      <c r="Q55" s="5"/>
      <c r="R55" s="5"/>
      <c r="S55" s="5"/>
      <c r="T55" s="5"/>
      <c r="U55" s="5"/>
      <c r="V55" s="5"/>
      <c r="W55" s="5"/>
      <c r="X55" s="5"/>
      <c r="Y55" s="5"/>
      <c r="Z55" s="5"/>
    </row>
    <row r="56" ht="15.75" customHeight="1">
      <c r="A56" s="7" t="s">
        <v>78</v>
      </c>
      <c r="B56" s="7" t="s">
        <v>565</v>
      </c>
      <c r="C56" s="7" t="s">
        <v>566</v>
      </c>
      <c r="D56" s="7" t="s">
        <v>561</v>
      </c>
      <c r="E56" s="7" t="s">
        <v>152</v>
      </c>
      <c r="F56" s="7" t="s">
        <v>128</v>
      </c>
      <c r="G56" s="7" t="s">
        <v>156</v>
      </c>
      <c r="H56" s="7" t="s">
        <v>249</v>
      </c>
      <c r="I56" s="7"/>
      <c r="J56" s="7" t="s">
        <v>155</v>
      </c>
      <c r="K56" s="7">
        <v>0.745480566435674</v>
      </c>
      <c r="L56" s="7" t="s">
        <v>88</v>
      </c>
      <c r="M56" s="16" t="s">
        <v>417</v>
      </c>
      <c r="N56" s="5"/>
      <c r="O56" s="5"/>
      <c r="P56" s="5"/>
      <c r="Q56" s="5"/>
      <c r="R56" s="5"/>
      <c r="S56" s="5"/>
      <c r="T56" s="5"/>
      <c r="U56" s="5"/>
      <c r="V56" s="5"/>
      <c r="W56" s="5"/>
      <c r="X56" s="5"/>
      <c r="Y56" s="5"/>
      <c r="Z56" s="5"/>
    </row>
    <row r="57" ht="15.75" customHeight="1">
      <c r="A57" s="7" t="s">
        <v>78</v>
      </c>
      <c r="B57" s="7" t="s">
        <v>567</v>
      </c>
      <c r="C57" s="7" t="s">
        <v>568</v>
      </c>
      <c r="D57" s="7" t="s">
        <v>561</v>
      </c>
      <c r="E57" s="7" t="s">
        <v>152</v>
      </c>
      <c r="F57" s="7" t="s">
        <v>128</v>
      </c>
      <c r="G57" s="7" t="s">
        <v>156</v>
      </c>
      <c r="H57" s="7" t="s">
        <v>96</v>
      </c>
      <c r="I57" s="7"/>
      <c r="J57" s="7" t="s">
        <v>134</v>
      </c>
      <c r="K57" s="7">
        <v>0.736806647204132</v>
      </c>
      <c r="L57" s="7" t="s">
        <v>88</v>
      </c>
      <c r="M57" s="16" t="s">
        <v>417</v>
      </c>
      <c r="N57" s="5"/>
      <c r="O57" s="5"/>
      <c r="P57" s="5"/>
      <c r="Q57" s="5"/>
      <c r="R57" s="5"/>
      <c r="S57" s="5"/>
      <c r="T57" s="5"/>
      <c r="U57" s="5"/>
      <c r="V57" s="5"/>
      <c r="W57" s="5"/>
      <c r="X57" s="5"/>
      <c r="Y57" s="5"/>
      <c r="Z57" s="5"/>
    </row>
    <row r="58" ht="15.75" customHeight="1">
      <c r="A58" s="7" t="s">
        <v>78</v>
      </c>
      <c r="B58" s="7" t="s">
        <v>572</v>
      </c>
      <c r="C58" s="7" t="s">
        <v>574</v>
      </c>
      <c r="D58" s="7" t="s">
        <v>561</v>
      </c>
      <c r="E58" s="7" t="s">
        <v>89</v>
      </c>
      <c r="F58" s="7" t="s">
        <v>145</v>
      </c>
      <c r="G58" s="7" t="s">
        <v>156</v>
      </c>
      <c r="H58" s="7" t="s">
        <v>96</v>
      </c>
      <c r="I58" s="7"/>
      <c r="J58" s="7" t="s">
        <v>155</v>
      </c>
      <c r="K58" s="7">
        <v>0.676432764886777</v>
      </c>
      <c r="L58" s="7" t="s">
        <v>88</v>
      </c>
      <c r="M58" s="16" t="s">
        <v>417</v>
      </c>
      <c r="N58" s="5"/>
      <c r="O58" s="5"/>
      <c r="P58" s="5"/>
      <c r="Q58" s="5"/>
      <c r="R58" s="5"/>
      <c r="S58" s="5"/>
      <c r="T58" s="5"/>
      <c r="U58" s="5"/>
      <c r="V58" s="5"/>
      <c r="W58" s="5"/>
      <c r="X58" s="5"/>
      <c r="Y58" s="5"/>
      <c r="Z58" s="5"/>
    </row>
    <row r="59" ht="15.75" customHeight="1">
      <c r="A59" s="7" t="s">
        <v>78</v>
      </c>
      <c r="B59" s="7" t="s">
        <v>577</v>
      </c>
      <c r="C59" s="7" t="s">
        <v>578</v>
      </c>
      <c r="D59" s="7" t="s">
        <v>561</v>
      </c>
      <c r="E59" s="7" t="s">
        <v>89</v>
      </c>
      <c r="F59" s="7" t="s">
        <v>92</v>
      </c>
      <c r="G59" s="7" t="s">
        <v>93</v>
      </c>
      <c r="H59" s="7" t="s">
        <v>96</v>
      </c>
      <c r="I59" s="7"/>
      <c r="J59" s="7" t="s">
        <v>155</v>
      </c>
      <c r="K59" s="7">
        <v>0.590779160903642</v>
      </c>
      <c r="L59" s="7" t="s">
        <v>88</v>
      </c>
      <c r="M59" s="16" t="s">
        <v>417</v>
      </c>
      <c r="N59" s="5"/>
      <c r="O59" s="5"/>
      <c r="P59" s="5"/>
      <c r="Q59" s="5"/>
      <c r="R59" s="5"/>
      <c r="S59" s="5"/>
      <c r="T59" s="5"/>
      <c r="U59" s="5"/>
      <c r="V59" s="5"/>
      <c r="W59" s="5"/>
      <c r="X59" s="5"/>
      <c r="Y59" s="5"/>
      <c r="Z59" s="5"/>
    </row>
    <row r="60" ht="15.75" customHeight="1">
      <c r="A60" s="7" t="s">
        <v>78</v>
      </c>
      <c r="B60" s="7" t="s">
        <v>585</v>
      </c>
      <c r="C60" s="7" t="s">
        <v>586</v>
      </c>
      <c r="D60" s="7" t="s">
        <v>431</v>
      </c>
      <c r="E60" s="7" t="s">
        <v>89</v>
      </c>
      <c r="F60" s="7" t="s">
        <v>91</v>
      </c>
      <c r="G60" s="7" t="s">
        <v>93</v>
      </c>
      <c r="H60" s="7" t="s">
        <v>432</v>
      </c>
      <c r="I60" s="7"/>
      <c r="J60" s="7" t="s">
        <v>155</v>
      </c>
      <c r="K60" s="7">
        <v>0.661134563118025</v>
      </c>
      <c r="L60" s="7" t="s">
        <v>88</v>
      </c>
      <c r="M60" s="16" t="s">
        <v>431</v>
      </c>
      <c r="N60" s="5"/>
      <c r="O60" s="5"/>
      <c r="P60" s="5"/>
      <c r="Q60" s="5"/>
      <c r="R60" s="5"/>
      <c r="S60" s="5"/>
      <c r="T60" s="5"/>
      <c r="U60" s="5"/>
      <c r="V60" s="5"/>
      <c r="W60" s="5"/>
      <c r="X60" s="5"/>
      <c r="Y60" s="5"/>
      <c r="Z60" s="5"/>
    </row>
    <row r="61" ht="15.75" customHeight="1">
      <c r="A61" s="7" t="s">
        <v>78</v>
      </c>
      <c r="B61" s="7" t="s">
        <v>587</v>
      </c>
      <c r="C61" s="7" t="s">
        <v>588</v>
      </c>
      <c r="D61" s="7" t="s">
        <v>431</v>
      </c>
      <c r="E61" s="7" t="s">
        <v>89</v>
      </c>
      <c r="F61" s="7" t="s">
        <v>91</v>
      </c>
      <c r="G61" s="7" t="s">
        <v>93</v>
      </c>
      <c r="H61" s="7" t="s">
        <v>96</v>
      </c>
      <c r="I61" s="7"/>
      <c r="J61" s="7" t="s">
        <v>98</v>
      </c>
      <c r="K61" s="7">
        <v>0.86442841015069</v>
      </c>
      <c r="L61" s="7" t="s">
        <v>88</v>
      </c>
      <c r="M61" s="16" t="s">
        <v>431</v>
      </c>
      <c r="N61" s="5"/>
      <c r="O61" s="5"/>
      <c r="P61" s="5"/>
      <c r="Q61" s="5"/>
      <c r="R61" s="5"/>
      <c r="S61" s="5"/>
      <c r="T61" s="5"/>
      <c r="U61" s="5"/>
      <c r="V61" s="5"/>
      <c r="W61" s="5"/>
      <c r="X61" s="5"/>
      <c r="Y61" s="5"/>
      <c r="Z61" s="5"/>
    </row>
    <row r="62" ht="15.75" customHeight="1">
      <c r="A62" s="7" t="s">
        <v>78</v>
      </c>
      <c r="B62" s="7" t="s">
        <v>590</v>
      </c>
      <c r="C62" s="7" t="s">
        <v>592</v>
      </c>
      <c r="D62" s="7" t="s">
        <v>431</v>
      </c>
      <c r="E62" s="7" t="s">
        <v>152</v>
      </c>
      <c r="F62" s="7" t="s">
        <v>92</v>
      </c>
      <c r="G62" s="7" t="s">
        <v>93</v>
      </c>
      <c r="H62" s="7" t="s">
        <v>96</v>
      </c>
      <c r="I62" s="7"/>
      <c r="J62" s="7" t="s">
        <v>415</v>
      </c>
      <c r="K62" s="7">
        <v>0.583793331861338</v>
      </c>
      <c r="L62" s="7" t="s">
        <v>88</v>
      </c>
      <c r="M62" s="16" t="s">
        <v>431</v>
      </c>
      <c r="N62" s="5"/>
      <c r="O62" s="5"/>
      <c r="P62" s="5"/>
      <c r="Q62" s="5"/>
      <c r="R62" s="5"/>
      <c r="S62" s="5"/>
      <c r="T62" s="5"/>
      <c r="U62" s="5"/>
      <c r="V62" s="5"/>
      <c r="W62" s="5"/>
      <c r="X62" s="5"/>
      <c r="Y62" s="5"/>
      <c r="Z62" s="5"/>
    </row>
    <row r="63" ht="15.75" customHeight="1">
      <c r="A63" s="7" t="s">
        <v>78</v>
      </c>
      <c r="B63" s="7" t="s">
        <v>595</v>
      </c>
      <c r="C63" s="7" t="s">
        <v>596</v>
      </c>
      <c r="D63" s="7" t="s">
        <v>597</v>
      </c>
      <c r="E63" s="7" t="s">
        <v>89</v>
      </c>
      <c r="F63" s="7" t="s">
        <v>128</v>
      </c>
      <c r="G63" s="7" t="s">
        <v>93</v>
      </c>
      <c r="H63" s="7" t="s">
        <v>438</v>
      </c>
      <c r="I63" s="7"/>
      <c r="J63" s="7" t="s">
        <v>183</v>
      </c>
      <c r="K63" s="7">
        <v>0.0275152909021216</v>
      </c>
      <c r="L63" s="7" t="s">
        <v>88</v>
      </c>
      <c r="M63" s="16" t="s">
        <v>437</v>
      </c>
      <c r="N63" s="5"/>
      <c r="O63" s="5"/>
      <c r="P63" s="5"/>
      <c r="Q63" s="5"/>
      <c r="R63" s="5"/>
      <c r="S63" s="5"/>
      <c r="T63" s="5"/>
      <c r="U63" s="5"/>
      <c r="V63" s="5"/>
      <c r="W63" s="5"/>
      <c r="X63" s="5"/>
      <c r="Y63" s="5"/>
      <c r="Z63" s="5"/>
    </row>
    <row r="64" ht="15.75" customHeight="1">
      <c r="A64" s="7" t="s">
        <v>78</v>
      </c>
      <c r="B64" s="7" t="s">
        <v>603</v>
      </c>
      <c r="C64" s="7" t="s">
        <v>604</v>
      </c>
      <c r="D64" s="7" t="s">
        <v>597</v>
      </c>
      <c r="E64" s="7" t="s">
        <v>89</v>
      </c>
      <c r="F64" s="7" t="s">
        <v>91</v>
      </c>
      <c r="G64" s="7" t="s">
        <v>130</v>
      </c>
      <c r="H64" s="7"/>
      <c r="I64" s="7"/>
      <c r="J64" s="7" t="s">
        <v>134</v>
      </c>
      <c r="K64" s="7" t="s">
        <v>135</v>
      </c>
      <c r="L64" s="7" t="s">
        <v>135</v>
      </c>
      <c r="M64" s="16" t="s">
        <v>437</v>
      </c>
      <c r="N64" s="5"/>
      <c r="O64" s="5"/>
      <c r="P64" s="5"/>
      <c r="Q64" s="5"/>
      <c r="R64" s="5"/>
      <c r="S64" s="5"/>
      <c r="T64" s="5"/>
      <c r="U64" s="5"/>
      <c r="V64" s="5"/>
      <c r="W64" s="5"/>
      <c r="X64" s="5"/>
      <c r="Y64" s="5"/>
      <c r="Z64" s="5"/>
    </row>
    <row r="65" ht="15.75" customHeight="1">
      <c r="A65" s="7" t="s">
        <v>78</v>
      </c>
      <c r="B65" s="7" t="s">
        <v>605</v>
      </c>
      <c r="C65" s="7" t="s">
        <v>606</v>
      </c>
      <c r="D65" s="7" t="s">
        <v>608</v>
      </c>
      <c r="E65" s="7" t="s">
        <v>89</v>
      </c>
      <c r="F65" s="7" t="s">
        <v>128</v>
      </c>
      <c r="G65" s="7" t="s">
        <v>93</v>
      </c>
      <c r="H65" s="7" t="s">
        <v>195</v>
      </c>
      <c r="I65" s="7"/>
      <c r="J65" s="7" t="s">
        <v>415</v>
      </c>
      <c r="K65" s="7">
        <v>0.301630434782609</v>
      </c>
      <c r="L65" s="7" t="s">
        <v>88</v>
      </c>
      <c r="M65" s="16" t="s">
        <v>454</v>
      </c>
      <c r="N65" s="5"/>
      <c r="O65" s="5"/>
      <c r="P65" s="5"/>
      <c r="Q65" s="5"/>
      <c r="R65" s="5"/>
      <c r="S65" s="5"/>
      <c r="T65" s="5"/>
      <c r="U65" s="5"/>
      <c r="V65" s="5"/>
      <c r="W65" s="5"/>
      <c r="X65" s="5"/>
      <c r="Y65" s="5"/>
      <c r="Z65" s="5"/>
    </row>
    <row r="66" ht="15.75" customHeight="1">
      <c r="A66" s="7" t="s">
        <v>78</v>
      </c>
      <c r="B66" s="7" t="s">
        <v>614</v>
      </c>
      <c r="C66" s="7" t="s">
        <v>615</v>
      </c>
      <c r="D66" s="7" t="s">
        <v>608</v>
      </c>
      <c r="E66" s="7" t="s">
        <v>89</v>
      </c>
      <c r="F66" s="7" t="s">
        <v>128</v>
      </c>
      <c r="G66" s="7" t="s">
        <v>93</v>
      </c>
      <c r="H66" s="7" t="s">
        <v>616</v>
      </c>
      <c r="I66" s="7" t="s">
        <v>617</v>
      </c>
      <c r="J66" s="7" t="s">
        <v>415</v>
      </c>
      <c r="K66" s="7">
        <v>0.336090835360908</v>
      </c>
      <c r="L66" s="7" t="s">
        <v>88</v>
      </c>
      <c r="M66" s="16" t="s">
        <v>454</v>
      </c>
      <c r="N66" s="5"/>
      <c r="O66" s="5"/>
      <c r="P66" s="5"/>
      <c r="Q66" s="5"/>
      <c r="R66" s="5"/>
      <c r="S66" s="5"/>
      <c r="T66" s="5"/>
      <c r="U66" s="5"/>
      <c r="V66" s="5"/>
      <c r="W66" s="5"/>
      <c r="X66" s="5"/>
      <c r="Y66" s="5"/>
      <c r="Z66" s="5"/>
    </row>
    <row r="67" ht="15.75" customHeight="1">
      <c r="A67" s="7" t="s">
        <v>78</v>
      </c>
      <c r="B67" s="7" t="s">
        <v>624</v>
      </c>
      <c r="C67" s="7" t="s">
        <v>625</v>
      </c>
      <c r="D67" s="7" t="s">
        <v>608</v>
      </c>
      <c r="E67" s="7" t="s">
        <v>89</v>
      </c>
      <c r="F67" s="7" t="s">
        <v>91</v>
      </c>
      <c r="G67" s="7" t="s">
        <v>93</v>
      </c>
      <c r="H67" s="7" t="s">
        <v>626</v>
      </c>
      <c r="I67" s="7" t="s">
        <v>627</v>
      </c>
      <c r="J67" s="7" t="s">
        <v>415</v>
      </c>
      <c r="K67" s="7">
        <v>0.268587360594796</v>
      </c>
      <c r="L67" s="7" t="s">
        <v>88</v>
      </c>
      <c r="M67" s="16" t="s">
        <v>454</v>
      </c>
      <c r="N67" s="5"/>
      <c r="O67" s="5"/>
      <c r="P67" s="5"/>
      <c r="Q67" s="5"/>
      <c r="R67" s="5"/>
      <c r="S67" s="5"/>
      <c r="T67" s="5"/>
      <c r="U67" s="5"/>
      <c r="V67" s="5"/>
      <c r="W67" s="5"/>
      <c r="X67" s="5"/>
      <c r="Y67" s="5"/>
      <c r="Z67" s="5"/>
    </row>
    <row r="68" ht="15.75" customHeight="1">
      <c r="A68" s="7" t="s">
        <v>78</v>
      </c>
      <c r="B68" s="7" t="s">
        <v>628</v>
      </c>
      <c r="C68" s="7" t="s">
        <v>629</v>
      </c>
      <c r="D68" s="7" t="s">
        <v>608</v>
      </c>
      <c r="E68" s="7" t="s">
        <v>127</v>
      </c>
      <c r="F68" s="7" t="s">
        <v>145</v>
      </c>
      <c r="G68" s="7" t="s">
        <v>93</v>
      </c>
      <c r="H68" s="7" t="s">
        <v>118</v>
      </c>
      <c r="I68" s="7"/>
      <c r="J68" s="7" t="s">
        <v>415</v>
      </c>
      <c r="K68" s="7" t="s">
        <v>135</v>
      </c>
      <c r="L68" s="7" t="s">
        <v>88</v>
      </c>
      <c r="M68" s="16" t="s">
        <v>454</v>
      </c>
      <c r="N68" s="5"/>
      <c r="O68" s="5"/>
      <c r="P68" s="5"/>
      <c r="Q68" s="5"/>
      <c r="R68" s="5"/>
      <c r="S68" s="5"/>
      <c r="T68" s="5"/>
      <c r="U68" s="5"/>
      <c r="V68" s="5"/>
      <c r="W68" s="5"/>
      <c r="X68" s="5"/>
      <c r="Y68" s="5"/>
      <c r="Z68" s="5"/>
    </row>
    <row r="69" ht="15.75" customHeight="1">
      <c r="A69" s="7" t="s">
        <v>78</v>
      </c>
      <c r="B69" s="7" t="s">
        <v>631</v>
      </c>
      <c r="C69" s="7" t="s">
        <v>632</v>
      </c>
      <c r="D69" s="7" t="s">
        <v>608</v>
      </c>
      <c r="E69" s="7" t="s">
        <v>127</v>
      </c>
      <c r="F69" s="7" t="s">
        <v>145</v>
      </c>
      <c r="G69" s="7" t="s">
        <v>93</v>
      </c>
      <c r="H69" s="7" t="s">
        <v>118</v>
      </c>
      <c r="I69" s="7"/>
      <c r="J69" s="7" t="s">
        <v>415</v>
      </c>
      <c r="K69" s="7" t="s">
        <v>135</v>
      </c>
      <c r="L69" s="7" t="s">
        <v>135</v>
      </c>
      <c r="M69" s="16" t="s">
        <v>454</v>
      </c>
      <c r="N69" s="5"/>
      <c r="O69" s="5"/>
      <c r="P69" s="5"/>
      <c r="Q69" s="5"/>
      <c r="R69" s="5"/>
      <c r="S69" s="5"/>
      <c r="T69" s="5"/>
      <c r="U69" s="5"/>
      <c r="V69" s="5"/>
      <c r="W69" s="5"/>
      <c r="X69" s="5"/>
      <c r="Y69" s="5"/>
      <c r="Z69" s="5"/>
    </row>
    <row r="70" ht="15.75" customHeight="1">
      <c r="A70" s="7" t="s">
        <v>78</v>
      </c>
      <c r="B70" s="7" t="s">
        <v>635</v>
      </c>
      <c r="C70" s="7" t="s">
        <v>636</v>
      </c>
      <c r="D70" s="7" t="s">
        <v>608</v>
      </c>
      <c r="E70" s="7" t="s">
        <v>127</v>
      </c>
      <c r="F70" s="7" t="s">
        <v>145</v>
      </c>
      <c r="G70" s="7" t="s">
        <v>93</v>
      </c>
      <c r="H70" s="7" t="s">
        <v>118</v>
      </c>
      <c r="I70" s="7"/>
      <c r="J70" s="7" t="s">
        <v>134</v>
      </c>
      <c r="K70" s="7" t="s">
        <v>135</v>
      </c>
      <c r="L70" s="7" t="s">
        <v>88</v>
      </c>
      <c r="M70" s="16" t="s">
        <v>454</v>
      </c>
      <c r="N70" s="5"/>
      <c r="O70" s="5"/>
      <c r="P70" s="5"/>
      <c r="Q70" s="5"/>
      <c r="R70" s="5"/>
      <c r="S70" s="5"/>
      <c r="T70" s="5"/>
      <c r="U70" s="5"/>
      <c r="V70" s="5"/>
      <c r="W70" s="5"/>
      <c r="X70" s="5"/>
      <c r="Y70" s="5"/>
      <c r="Z70" s="5"/>
    </row>
    <row r="71" ht="15.75" customHeight="1">
      <c r="A71" s="7" t="s">
        <v>78</v>
      </c>
      <c r="B71" s="7" t="s">
        <v>638</v>
      </c>
      <c r="C71" s="7" t="s">
        <v>639</v>
      </c>
      <c r="D71" s="7" t="s">
        <v>608</v>
      </c>
      <c r="E71" s="7" t="s">
        <v>127</v>
      </c>
      <c r="F71" s="7" t="s">
        <v>145</v>
      </c>
      <c r="G71" s="7" t="s">
        <v>93</v>
      </c>
      <c r="H71" s="7" t="s">
        <v>118</v>
      </c>
      <c r="I71" s="7" t="s">
        <v>617</v>
      </c>
      <c r="J71" s="7" t="s">
        <v>415</v>
      </c>
      <c r="K71" s="7" t="s">
        <v>135</v>
      </c>
      <c r="L71" s="7" t="s">
        <v>135</v>
      </c>
      <c r="M71" s="16" t="s">
        <v>454</v>
      </c>
      <c r="N71" s="5"/>
      <c r="O71" s="5"/>
      <c r="P71" s="5"/>
      <c r="Q71" s="5"/>
      <c r="R71" s="5"/>
      <c r="S71" s="5"/>
      <c r="T71" s="5"/>
      <c r="U71" s="5"/>
      <c r="V71" s="5"/>
      <c r="W71" s="5"/>
      <c r="X71" s="5"/>
      <c r="Y71" s="5"/>
      <c r="Z71" s="5"/>
    </row>
    <row r="72" ht="15.75" customHeight="1">
      <c r="A72" s="7" t="s">
        <v>78</v>
      </c>
      <c r="B72" s="7" t="s">
        <v>640</v>
      </c>
      <c r="C72" s="7" t="s">
        <v>641</v>
      </c>
      <c r="D72" s="7" t="s">
        <v>640</v>
      </c>
      <c r="E72" s="7" t="s">
        <v>152</v>
      </c>
      <c r="F72" s="7" t="s">
        <v>128</v>
      </c>
      <c r="G72" s="7" t="s">
        <v>94</v>
      </c>
      <c r="H72" s="7"/>
      <c r="I72" s="7"/>
      <c r="J72" s="7" t="s">
        <v>183</v>
      </c>
      <c r="K72" s="7" t="s">
        <v>135</v>
      </c>
      <c r="L72" s="7" t="s">
        <v>72</v>
      </c>
      <c r="M72" s="16" t="s">
        <v>360</v>
      </c>
      <c r="N72" s="5"/>
      <c r="O72" s="5"/>
      <c r="P72" s="5"/>
      <c r="Q72" s="5"/>
      <c r="R72" s="5"/>
      <c r="S72" s="5"/>
      <c r="T72" s="5"/>
      <c r="U72" s="5"/>
      <c r="V72" s="5"/>
      <c r="W72" s="5"/>
      <c r="X72" s="5"/>
      <c r="Y72" s="5"/>
      <c r="Z72" s="5"/>
    </row>
    <row r="73" ht="15.75" customHeight="1">
      <c r="A73" s="7" t="s">
        <v>78</v>
      </c>
      <c r="B73" s="7" t="s">
        <v>647</v>
      </c>
      <c r="C73" s="7" t="s">
        <v>648</v>
      </c>
      <c r="D73" s="7" t="s">
        <v>649</v>
      </c>
      <c r="E73" s="7" t="s">
        <v>89</v>
      </c>
      <c r="F73" s="7" t="s">
        <v>128</v>
      </c>
      <c r="G73" s="7" t="s">
        <v>94</v>
      </c>
      <c r="H73" s="7"/>
      <c r="I73" s="7"/>
      <c r="J73" s="7" t="s">
        <v>183</v>
      </c>
      <c r="K73" s="7" t="s">
        <v>135</v>
      </c>
      <c r="L73" s="7" t="s">
        <v>88</v>
      </c>
      <c r="M73" s="16" t="s">
        <v>491</v>
      </c>
      <c r="N73" s="5"/>
      <c r="O73" s="5"/>
      <c r="P73" s="5"/>
      <c r="Q73" s="5"/>
      <c r="R73" s="5"/>
      <c r="S73" s="5"/>
      <c r="T73" s="5"/>
      <c r="U73" s="5"/>
      <c r="V73" s="5"/>
      <c r="W73" s="5"/>
      <c r="X73" s="5"/>
      <c r="Y73" s="5"/>
      <c r="Z73" s="5"/>
    </row>
    <row r="74" ht="15.75" customHeight="1">
      <c r="A74" s="7" t="s">
        <v>78</v>
      </c>
      <c r="B74" s="7" t="s">
        <v>656</v>
      </c>
      <c r="C74" s="7" t="s">
        <v>657</v>
      </c>
      <c r="D74" s="7" t="s">
        <v>501</v>
      </c>
      <c r="E74" s="7" t="s">
        <v>152</v>
      </c>
      <c r="F74" s="7" t="s">
        <v>145</v>
      </c>
      <c r="G74" s="7" t="s">
        <v>156</v>
      </c>
      <c r="H74" s="7" t="s">
        <v>96</v>
      </c>
      <c r="I74" s="7" t="s">
        <v>455</v>
      </c>
      <c r="J74" s="7" t="s">
        <v>155</v>
      </c>
      <c r="K74" s="7">
        <v>0.917647058823529</v>
      </c>
      <c r="L74" s="7" t="s">
        <v>135</v>
      </c>
      <c r="M74" s="16" t="s">
        <v>501</v>
      </c>
      <c r="N74" s="5"/>
      <c r="O74" s="5"/>
      <c r="P74" s="5"/>
      <c r="Q74" s="5"/>
      <c r="R74" s="5"/>
      <c r="S74" s="5"/>
      <c r="T74" s="5"/>
      <c r="U74" s="5"/>
      <c r="V74" s="5"/>
      <c r="W74" s="5"/>
      <c r="X74" s="5"/>
      <c r="Y74" s="5"/>
      <c r="Z74" s="5"/>
    </row>
    <row r="75" ht="15.75" customHeight="1">
      <c r="A75" s="7" t="s">
        <v>78</v>
      </c>
      <c r="B75" s="7" t="s">
        <v>660</v>
      </c>
      <c r="C75" s="7" t="s">
        <v>662</v>
      </c>
      <c r="D75" s="7" t="s">
        <v>501</v>
      </c>
      <c r="E75" s="7" t="s">
        <v>89</v>
      </c>
      <c r="F75" s="7" t="s">
        <v>91</v>
      </c>
      <c r="G75" s="7" t="s">
        <v>156</v>
      </c>
      <c r="H75" s="7" t="s">
        <v>96</v>
      </c>
      <c r="I75" s="7" t="s">
        <v>455</v>
      </c>
      <c r="J75" s="7" t="s">
        <v>134</v>
      </c>
      <c r="K75" s="7">
        <v>0.56119319765821</v>
      </c>
      <c r="L75" s="7" t="s">
        <v>135</v>
      </c>
      <c r="M75" s="16" t="s">
        <v>501</v>
      </c>
      <c r="N75" s="5"/>
      <c r="O75" s="5"/>
      <c r="P75" s="5"/>
      <c r="Q75" s="5"/>
      <c r="R75" s="5"/>
      <c r="S75" s="5"/>
      <c r="T75" s="5"/>
      <c r="U75" s="5"/>
      <c r="V75" s="5"/>
      <c r="W75" s="5"/>
      <c r="X75" s="5"/>
      <c r="Y75" s="5"/>
      <c r="Z75" s="5"/>
    </row>
    <row r="76" ht="15.75" customHeight="1">
      <c r="A76" s="7" t="s">
        <v>78</v>
      </c>
      <c r="B76" s="7" t="s">
        <v>666</v>
      </c>
      <c r="C76" s="7" t="s">
        <v>667</v>
      </c>
      <c r="D76" s="7" t="s">
        <v>668</v>
      </c>
      <c r="E76" s="7" t="s">
        <v>152</v>
      </c>
      <c r="F76" s="7" t="s">
        <v>92</v>
      </c>
      <c r="G76" s="7" t="s">
        <v>669</v>
      </c>
      <c r="H76" s="7"/>
      <c r="I76" s="7" t="s">
        <v>455</v>
      </c>
      <c r="J76" s="7" t="s">
        <v>415</v>
      </c>
      <c r="K76" s="7" t="s">
        <v>135</v>
      </c>
      <c r="L76" s="7" t="s">
        <v>135</v>
      </c>
      <c r="M76" s="16" t="s">
        <v>501</v>
      </c>
      <c r="N76" s="5"/>
      <c r="O76" s="5"/>
      <c r="P76" s="5"/>
      <c r="Q76" s="5"/>
      <c r="R76" s="5"/>
      <c r="S76" s="5"/>
      <c r="T76" s="5"/>
      <c r="U76" s="5"/>
      <c r="V76" s="5"/>
      <c r="W76" s="5"/>
      <c r="X76" s="5"/>
      <c r="Y76" s="5"/>
      <c r="Z76" s="5"/>
    </row>
    <row r="77" ht="15.75" customHeight="1">
      <c r="A77" s="7" t="s">
        <v>78</v>
      </c>
      <c r="B77" s="7" t="s">
        <v>670</v>
      </c>
      <c r="C77" s="7" t="s">
        <v>671</v>
      </c>
      <c r="D77" s="7" t="s">
        <v>501</v>
      </c>
      <c r="E77" s="7" t="s">
        <v>89</v>
      </c>
      <c r="F77" s="7" t="s">
        <v>92</v>
      </c>
      <c r="G77" s="7" t="s">
        <v>156</v>
      </c>
      <c r="H77" s="7" t="s">
        <v>96</v>
      </c>
      <c r="I77" s="7" t="s">
        <v>455</v>
      </c>
      <c r="J77" s="7" t="s">
        <v>155</v>
      </c>
      <c r="K77" s="7">
        <v>0.557327202610501</v>
      </c>
      <c r="L77" s="7" t="s">
        <v>135</v>
      </c>
      <c r="M77" s="16" t="s">
        <v>501</v>
      </c>
      <c r="N77" s="5"/>
      <c r="O77" s="5"/>
      <c r="P77" s="5"/>
      <c r="Q77" s="5"/>
      <c r="R77" s="5"/>
      <c r="S77" s="5"/>
      <c r="T77" s="5"/>
      <c r="U77" s="5"/>
      <c r="V77" s="5"/>
      <c r="W77" s="5"/>
      <c r="X77" s="5"/>
      <c r="Y77" s="5"/>
      <c r="Z77" s="5"/>
    </row>
    <row r="78" ht="15.75" customHeight="1">
      <c r="A78" s="7" t="s">
        <v>78</v>
      </c>
      <c r="B78" s="7" t="s">
        <v>675</v>
      </c>
      <c r="C78" s="7" t="s">
        <v>677</v>
      </c>
      <c r="D78" s="7" t="s">
        <v>519</v>
      </c>
      <c r="E78" s="7" t="s">
        <v>89</v>
      </c>
      <c r="F78" s="7" t="s">
        <v>145</v>
      </c>
      <c r="G78" s="7" t="s">
        <v>669</v>
      </c>
      <c r="H78" s="7"/>
      <c r="I78" s="7"/>
      <c r="J78" s="7" t="s">
        <v>415</v>
      </c>
      <c r="K78" s="7" t="s">
        <v>135</v>
      </c>
      <c r="L78" s="7" t="s">
        <v>135</v>
      </c>
      <c r="M78" s="16" t="s">
        <v>519</v>
      </c>
      <c r="N78" s="5"/>
      <c r="O78" s="5"/>
      <c r="P78" s="5"/>
      <c r="Q78" s="5"/>
      <c r="R78" s="5"/>
      <c r="S78" s="5"/>
      <c r="T78" s="5"/>
      <c r="U78" s="5"/>
      <c r="V78" s="5"/>
      <c r="W78" s="5"/>
      <c r="X78" s="5"/>
      <c r="Y78" s="5"/>
      <c r="Z78" s="5"/>
    </row>
    <row r="79" ht="15.75" customHeight="1">
      <c r="A79" s="7" t="s">
        <v>78</v>
      </c>
      <c r="B79" s="7" t="s">
        <v>682</v>
      </c>
      <c r="C79" s="7" t="s">
        <v>685</v>
      </c>
      <c r="D79" s="7" t="s">
        <v>519</v>
      </c>
      <c r="E79" s="7" t="s">
        <v>152</v>
      </c>
      <c r="F79" s="7" t="s">
        <v>145</v>
      </c>
      <c r="G79" s="7" t="s">
        <v>156</v>
      </c>
      <c r="H79" s="7" t="s">
        <v>96</v>
      </c>
      <c r="I79" s="7"/>
      <c r="J79" s="7" t="s">
        <v>98</v>
      </c>
      <c r="K79" s="7">
        <v>0.714454455554335</v>
      </c>
      <c r="L79" s="7" t="s">
        <v>88</v>
      </c>
      <c r="M79" s="16" t="s">
        <v>519</v>
      </c>
      <c r="N79" s="5"/>
      <c r="O79" s="5"/>
      <c r="P79" s="5"/>
      <c r="Q79" s="5"/>
      <c r="R79" s="5"/>
      <c r="S79" s="5"/>
      <c r="T79" s="5"/>
      <c r="U79" s="5"/>
      <c r="V79" s="5"/>
      <c r="W79" s="5"/>
      <c r="X79" s="5"/>
      <c r="Y79" s="5"/>
      <c r="Z79" s="5"/>
    </row>
    <row r="80" ht="15.75" customHeight="1">
      <c r="A80" s="7" t="s">
        <v>78</v>
      </c>
      <c r="B80" s="7" t="s">
        <v>687</v>
      </c>
      <c r="C80" s="7" t="s">
        <v>688</v>
      </c>
      <c r="D80" s="7" t="s">
        <v>689</v>
      </c>
      <c r="E80" s="7" t="s">
        <v>89</v>
      </c>
      <c r="F80" s="7" t="s">
        <v>128</v>
      </c>
      <c r="G80" s="7" t="s">
        <v>93</v>
      </c>
      <c r="H80" s="7" t="s">
        <v>540</v>
      </c>
      <c r="I80" s="7"/>
      <c r="J80" s="7" t="s">
        <v>415</v>
      </c>
      <c r="K80" s="7">
        <v>0.861285769280123</v>
      </c>
      <c r="L80" s="7" t="s">
        <v>88</v>
      </c>
      <c r="M80" s="16" t="s">
        <v>539</v>
      </c>
      <c r="N80" s="5"/>
      <c r="O80" s="5"/>
      <c r="P80" s="5"/>
      <c r="Q80" s="5"/>
      <c r="R80" s="5"/>
      <c r="S80" s="5"/>
      <c r="T80" s="5"/>
      <c r="U80" s="5"/>
      <c r="V80" s="5"/>
      <c r="W80" s="5"/>
      <c r="X80" s="5"/>
      <c r="Y80" s="5"/>
      <c r="Z80" s="5"/>
    </row>
    <row r="81" ht="15.75" customHeight="1">
      <c r="A81" s="7" t="s">
        <v>78</v>
      </c>
      <c r="B81" s="7" t="s">
        <v>691</v>
      </c>
      <c r="C81" s="7" t="s">
        <v>693</v>
      </c>
      <c r="D81" s="7" t="s">
        <v>689</v>
      </c>
      <c r="E81" s="7" t="s">
        <v>89</v>
      </c>
      <c r="F81" s="7" t="s">
        <v>145</v>
      </c>
      <c r="G81" s="7" t="s">
        <v>156</v>
      </c>
      <c r="H81" s="7" t="s">
        <v>118</v>
      </c>
      <c r="I81" s="7"/>
      <c r="J81" s="7" t="s">
        <v>415</v>
      </c>
      <c r="K81" s="7">
        <v>0.867022254919993</v>
      </c>
      <c r="L81" s="7" t="s">
        <v>88</v>
      </c>
      <c r="M81" s="16" t="s">
        <v>539</v>
      </c>
      <c r="N81" s="5"/>
      <c r="O81" s="5"/>
      <c r="P81" s="5"/>
      <c r="Q81" s="5"/>
      <c r="R81" s="5"/>
      <c r="S81" s="5"/>
      <c r="T81" s="5"/>
      <c r="U81" s="5"/>
      <c r="V81" s="5"/>
      <c r="W81" s="5"/>
      <c r="X81" s="5"/>
      <c r="Y81" s="5"/>
      <c r="Z81" s="5"/>
    </row>
    <row r="82" ht="15.75" customHeight="1">
      <c r="A82" s="7" t="s">
        <v>78</v>
      </c>
      <c r="B82" s="7" t="s">
        <v>700</v>
      </c>
      <c r="C82" s="7" t="s">
        <v>701</v>
      </c>
      <c r="D82" s="7" t="s">
        <v>689</v>
      </c>
      <c r="E82" s="7" t="s">
        <v>89</v>
      </c>
      <c r="F82" s="7" t="s">
        <v>128</v>
      </c>
      <c r="G82" s="7" t="s">
        <v>93</v>
      </c>
      <c r="H82" s="7" t="s">
        <v>540</v>
      </c>
      <c r="I82" s="7"/>
      <c r="J82" s="7" t="s">
        <v>415</v>
      </c>
      <c r="K82" s="7">
        <v>0.771315640880858</v>
      </c>
      <c r="L82" s="7" t="s">
        <v>88</v>
      </c>
      <c r="M82" s="16" t="s">
        <v>539</v>
      </c>
      <c r="N82" s="5"/>
      <c r="O82" s="5"/>
      <c r="P82" s="5"/>
      <c r="Q82" s="5"/>
      <c r="R82" s="5"/>
      <c r="S82" s="5"/>
      <c r="T82" s="5"/>
      <c r="U82" s="5"/>
      <c r="V82" s="5"/>
      <c r="W82" s="5"/>
      <c r="X82" s="5"/>
      <c r="Y82" s="5"/>
      <c r="Z82" s="5"/>
    </row>
    <row r="83" ht="15.75" customHeight="1">
      <c r="A83" s="7" t="s">
        <v>78</v>
      </c>
      <c r="B83" s="7" t="s">
        <v>708</v>
      </c>
      <c r="C83" s="7" t="s">
        <v>709</v>
      </c>
      <c r="D83" s="7" t="s">
        <v>689</v>
      </c>
      <c r="E83" s="7" t="s">
        <v>89</v>
      </c>
      <c r="F83" s="7" t="s">
        <v>145</v>
      </c>
      <c r="G83" s="7" t="s">
        <v>156</v>
      </c>
      <c r="H83" s="7" t="s">
        <v>540</v>
      </c>
      <c r="I83" s="7"/>
      <c r="J83" s="7" t="s">
        <v>134</v>
      </c>
      <c r="K83" s="7">
        <v>0.871882640586797</v>
      </c>
      <c r="L83" s="7" t="s">
        <v>88</v>
      </c>
      <c r="M83" s="16" t="s">
        <v>539</v>
      </c>
      <c r="N83" s="5"/>
      <c r="O83" s="5"/>
      <c r="P83" s="5"/>
      <c r="Q83" s="5"/>
      <c r="R83" s="5"/>
      <c r="S83" s="5"/>
      <c r="T83" s="5"/>
      <c r="U83" s="5"/>
      <c r="V83" s="5"/>
      <c r="W83" s="5"/>
      <c r="X83" s="5"/>
      <c r="Y83" s="5"/>
      <c r="Z83" s="5"/>
    </row>
    <row r="84" ht="15.75" customHeight="1">
      <c r="A84" s="7" t="s">
        <v>78</v>
      </c>
      <c r="B84" s="7" t="s">
        <v>710</v>
      </c>
      <c r="C84" s="7" t="s">
        <v>711</v>
      </c>
      <c r="D84" s="7" t="s">
        <v>689</v>
      </c>
      <c r="E84" s="7" t="s">
        <v>89</v>
      </c>
      <c r="F84" s="7" t="s">
        <v>128</v>
      </c>
      <c r="G84" s="7" t="s">
        <v>156</v>
      </c>
      <c r="H84" s="7" t="s">
        <v>540</v>
      </c>
      <c r="I84" s="7"/>
      <c r="J84" s="7" t="s">
        <v>415</v>
      </c>
      <c r="K84" s="7">
        <v>0.650334075723831</v>
      </c>
      <c r="L84" s="7" t="s">
        <v>88</v>
      </c>
      <c r="M84" s="16" t="s">
        <v>539</v>
      </c>
      <c r="N84" s="5"/>
      <c r="O84" s="5"/>
      <c r="P84" s="5"/>
      <c r="Q84" s="5"/>
      <c r="R84" s="5"/>
      <c r="S84" s="5"/>
      <c r="T84" s="5"/>
      <c r="U84" s="5"/>
      <c r="V84" s="5"/>
      <c r="W84" s="5"/>
      <c r="X84" s="5"/>
      <c r="Y84" s="5"/>
      <c r="Z84" s="5"/>
    </row>
    <row r="85" ht="15.75" customHeight="1">
      <c r="A85" s="7" t="s">
        <v>78</v>
      </c>
      <c r="B85" s="7" t="s">
        <v>713</v>
      </c>
      <c r="C85" s="7" t="s">
        <v>715</v>
      </c>
      <c r="D85" s="7" t="s">
        <v>716</v>
      </c>
      <c r="E85" s="7" t="s">
        <v>127</v>
      </c>
      <c r="F85" s="7" t="s">
        <v>145</v>
      </c>
      <c r="G85" s="7" t="s">
        <v>94</v>
      </c>
      <c r="H85" s="7"/>
      <c r="I85" s="7"/>
      <c r="J85" s="7" t="s">
        <v>134</v>
      </c>
      <c r="K85" s="7" t="s">
        <v>135</v>
      </c>
      <c r="L85" s="7" t="s">
        <v>135</v>
      </c>
      <c r="M85" s="16" t="s">
        <v>556</v>
      </c>
      <c r="N85" s="5"/>
      <c r="O85" s="5"/>
      <c r="P85" s="5"/>
      <c r="Q85" s="5"/>
      <c r="R85" s="5"/>
      <c r="S85" s="5"/>
      <c r="T85" s="5"/>
      <c r="U85" s="5"/>
      <c r="V85" s="5"/>
      <c r="W85" s="5"/>
      <c r="X85" s="5"/>
      <c r="Y85" s="5"/>
      <c r="Z85" s="5"/>
    </row>
    <row r="86" ht="15.75" customHeight="1">
      <c r="A86" s="7" t="s">
        <v>78</v>
      </c>
      <c r="B86" s="7" t="s">
        <v>718</v>
      </c>
      <c r="C86" s="7" t="s">
        <v>719</v>
      </c>
      <c r="D86" s="7" t="s">
        <v>716</v>
      </c>
      <c r="E86" s="7" t="s">
        <v>89</v>
      </c>
      <c r="F86" s="7" t="s">
        <v>92</v>
      </c>
      <c r="G86" s="7" t="s">
        <v>93</v>
      </c>
      <c r="H86" s="7" t="s">
        <v>557</v>
      </c>
      <c r="I86" s="7"/>
      <c r="J86" s="7" t="s">
        <v>155</v>
      </c>
      <c r="K86" s="7">
        <v>0.525067236742294</v>
      </c>
      <c r="L86" s="7" t="s">
        <v>88</v>
      </c>
      <c r="M86" s="16" t="s">
        <v>556</v>
      </c>
      <c r="N86" s="5"/>
      <c r="O86" s="5"/>
      <c r="P86" s="5"/>
      <c r="Q86" s="5"/>
      <c r="R86" s="5"/>
      <c r="S86" s="5"/>
      <c r="T86" s="5"/>
      <c r="U86" s="5"/>
      <c r="V86" s="5"/>
      <c r="W86" s="5"/>
      <c r="X86" s="5"/>
      <c r="Y86" s="5"/>
      <c r="Z86" s="5"/>
    </row>
    <row r="87" ht="15.75" customHeight="1">
      <c r="A87" s="7" t="s">
        <v>78</v>
      </c>
      <c r="B87" s="7" t="s">
        <v>725</v>
      </c>
      <c r="C87" s="7" t="s">
        <v>726</v>
      </c>
      <c r="D87" s="7" t="s">
        <v>716</v>
      </c>
      <c r="E87" s="7" t="s">
        <v>89</v>
      </c>
      <c r="F87" s="7" t="s">
        <v>128</v>
      </c>
      <c r="G87" s="7" t="s">
        <v>93</v>
      </c>
      <c r="H87" s="7" t="s">
        <v>557</v>
      </c>
      <c r="I87" s="7"/>
      <c r="J87" s="7" t="s">
        <v>155</v>
      </c>
      <c r="K87" s="7">
        <v>0.765998089780325</v>
      </c>
      <c r="L87" s="7" t="s">
        <v>88</v>
      </c>
      <c r="M87" s="16" t="s">
        <v>556</v>
      </c>
      <c r="N87" s="5"/>
      <c r="O87" s="5"/>
      <c r="P87" s="5"/>
      <c r="Q87" s="5"/>
      <c r="R87" s="5"/>
      <c r="S87" s="5"/>
      <c r="T87" s="5"/>
      <c r="U87" s="5"/>
      <c r="V87" s="5"/>
      <c r="W87" s="5"/>
      <c r="X87" s="5"/>
      <c r="Y87" s="5"/>
      <c r="Z87" s="5"/>
    </row>
    <row r="88" ht="15.75" customHeight="1">
      <c r="A88" s="7" t="s">
        <v>78</v>
      </c>
      <c r="B88" s="7" t="s">
        <v>727</v>
      </c>
      <c r="C88" s="7" t="s">
        <v>728</v>
      </c>
      <c r="D88" s="7" t="s">
        <v>571</v>
      </c>
      <c r="E88" s="7" t="s">
        <v>89</v>
      </c>
      <c r="F88" s="7" t="s">
        <v>92</v>
      </c>
      <c r="G88" s="7" t="s">
        <v>94</v>
      </c>
      <c r="H88" s="7"/>
      <c r="I88" s="7"/>
      <c r="J88" s="7" t="s">
        <v>134</v>
      </c>
      <c r="K88" s="7" t="s">
        <v>135</v>
      </c>
      <c r="L88" s="7" t="s">
        <v>88</v>
      </c>
      <c r="M88" s="16" t="s">
        <v>571</v>
      </c>
      <c r="N88" s="5"/>
      <c r="O88" s="5"/>
      <c r="P88" s="5"/>
      <c r="Q88" s="5"/>
      <c r="R88" s="5"/>
      <c r="S88" s="5"/>
      <c r="T88" s="5"/>
      <c r="U88" s="5"/>
      <c r="V88" s="5"/>
      <c r="W88" s="5"/>
      <c r="X88" s="5"/>
      <c r="Y88" s="5"/>
      <c r="Z88" s="5"/>
    </row>
    <row r="89" ht="15.75" customHeight="1">
      <c r="A89" s="7" t="s">
        <v>78</v>
      </c>
      <c r="B89" s="7" t="s">
        <v>734</v>
      </c>
      <c r="C89" s="7" t="s">
        <v>735</v>
      </c>
      <c r="D89" s="7" t="s">
        <v>571</v>
      </c>
      <c r="E89" s="7" t="s">
        <v>89</v>
      </c>
      <c r="F89" s="7" t="s">
        <v>92</v>
      </c>
      <c r="G89" s="7" t="s">
        <v>156</v>
      </c>
      <c r="H89" s="7" t="s">
        <v>736</v>
      </c>
      <c r="I89" s="7"/>
      <c r="J89" s="7" t="s">
        <v>155</v>
      </c>
      <c r="K89" s="7">
        <v>0.798345710318179</v>
      </c>
      <c r="L89" s="7" t="s">
        <v>72</v>
      </c>
      <c r="M89" s="16" t="s">
        <v>571</v>
      </c>
      <c r="N89" s="5"/>
      <c r="O89" s="5"/>
      <c r="P89" s="5"/>
      <c r="Q89" s="5"/>
      <c r="R89" s="5"/>
      <c r="S89" s="5"/>
      <c r="T89" s="5"/>
      <c r="U89" s="5"/>
      <c r="V89" s="5"/>
      <c r="W89" s="5"/>
      <c r="X89" s="5"/>
      <c r="Y89" s="5"/>
      <c r="Z89" s="5"/>
    </row>
    <row r="90" ht="15.75" customHeight="1">
      <c r="A90" s="7" t="s">
        <v>78</v>
      </c>
      <c r="B90" s="7" t="s">
        <v>740</v>
      </c>
      <c r="C90" s="7" t="s">
        <v>741</v>
      </c>
      <c r="D90" s="7" t="s">
        <v>571</v>
      </c>
      <c r="E90" s="7" t="s">
        <v>127</v>
      </c>
      <c r="F90" s="7" t="s">
        <v>91</v>
      </c>
      <c r="G90" s="7" t="s">
        <v>156</v>
      </c>
      <c r="H90" s="7" t="s">
        <v>742</v>
      </c>
      <c r="I90" s="7"/>
      <c r="J90" s="7" t="s">
        <v>155</v>
      </c>
      <c r="K90" s="7">
        <v>0.685042368846996</v>
      </c>
      <c r="L90" s="7" t="s">
        <v>72</v>
      </c>
      <c r="M90" s="16" t="s">
        <v>571</v>
      </c>
      <c r="N90" s="5"/>
      <c r="O90" s="5"/>
      <c r="P90" s="5"/>
      <c r="Q90" s="5"/>
      <c r="R90" s="5"/>
      <c r="S90" s="5"/>
      <c r="T90" s="5"/>
      <c r="U90" s="5"/>
      <c r="V90" s="5"/>
      <c r="W90" s="5"/>
      <c r="X90" s="5"/>
      <c r="Y90" s="5"/>
      <c r="Z90" s="5"/>
    </row>
    <row r="91" ht="15.75" customHeight="1">
      <c r="A91" s="7" t="s">
        <v>78</v>
      </c>
      <c r="B91" s="7" t="s">
        <v>746</v>
      </c>
      <c r="C91" s="7" t="s">
        <v>747</v>
      </c>
      <c r="D91" s="7" t="s">
        <v>591</v>
      </c>
      <c r="E91" s="7" t="s">
        <v>152</v>
      </c>
      <c r="F91" s="7" t="s">
        <v>91</v>
      </c>
      <c r="G91" s="7" t="s">
        <v>156</v>
      </c>
      <c r="H91" s="7" t="s">
        <v>593</v>
      </c>
      <c r="I91" s="7"/>
      <c r="J91" s="7" t="s">
        <v>98</v>
      </c>
      <c r="K91" s="7">
        <v>0.664423440453686</v>
      </c>
      <c r="L91" s="7" t="s">
        <v>88</v>
      </c>
      <c r="M91" s="16" t="s">
        <v>591</v>
      </c>
      <c r="N91" s="5"/>
      <c r="O91" s="5"/>
      <c r="P91" s="5"/>
      <c r="Q91" s="5"/>
      <c r="R91" s="5"/>
      <c r="S91" s="5"/>
      <c r="T91" s="5"/>
      <c r="U91" s="5"/>
      <c r="V91" s="5"/>
      <c r="W91" s="5"/>
      <c r="X91" s="5"/>
      <c r="Y91" s="5"/>
      <c r="Z91" s="5"/>
    </row>
    <row r="92" ht="15.75" customHeight="1">
      <c r="A92" s="7" t="s">
        <v>78</v>
      </c>
      <c r="B92" s="7" t="s">
        <v>752</v>
      </c>
      <c r="C92" s="7" t="s">
        <v>754</v>
      </c>
      <c r="D92" s="7" t="s">
        <v>591</v>
      </c>
      <c r="E92" s="7" t="s">
        <v>152</v>
      </c>
      <c r="F92" s="7" t="s">
        <v>91</v>
      </c>
      <c r="G92" s="7" t="s">
        <v>669</v>
      </c>
      <c r="H92" s="7"/>
      <c r="I92" s="7"/>
      <c r="J92" s="7" t="s">
        <v>134</v>
      </c>
      <c r="K92" s="7" t="s">
        <v>135</v>
      </c>
      <c r="L92" s="7" t="s">
        <v>88</v>
      </c>
      <c r="M92" s="16" t="s">
        <v>591</v>
      </c>
      <c r="N92" s="5"/>
      <c r="O92" s="5"/>
      <c r="P92" s="5"/>
      <c r="Q92" s="5"/>
      <c r="R92" s="5"/>
      <c r="S92" s="5"/>
      <c r="T92" s="5"/>
      <c r="U92" s="5"/>
      <c r="V92" s="5"/>
      <c r="W92" s="5"/>
      <c r="X92" s="5"/>
      <c r="Y92" s="5"/>
      <c r="Z92" s="5"/>
    </row>
    <row r="93" ht="15.75" customHeight="1">
      <c r="A93" s="7" t="s">
        <v>78</v>
      </c>
      <c r="B93" s="7" t="s">
        <v>755</v>
      </c>
      <c r="C93" s="7" t="s">
        <v>756</v>
      </c>
      <c r="D93" s="7" t="s">
        <v>610</v>
      </c>
      <c r="E93" s="7" t="s">
        <v>89</v>
      </c>
      <c r="F93" s="7" t="s">
        <v>128</v>
      </c>
      <c r="G93" s="7" t="s">
        <v>93</v>
      </c>
      <c r="H93" s="7" t="s">
        <v>250</v>
      </c>
      <c r="I93" s="7"/>
      <c r="J93" s="7" t="s">
        <v>98</v>
      </c>
      <c r="K93" s="7">
        <v>0.640298507462687</v>
      </c>
      <c r="L93" s="7" t="s">
        <v>88</v>
      </c>
      <c r="M93" s="16" t="s">
        <v>610</v>
      </c>
      <c r="N93" s="5"/>
      <c r="O93" s="5"/>
      <c r="P93" s="5"/>
      <c r="Q93" s="5"/>
      <c r="R93" s="5"/>
      <c r="S93" s="5"/>
      <c r="T93" s="5"/>
      <c r="U93" s="5"/>
      <c r="V93" s="5"/>
      <c r="W93" s="5"/>
      <c r="X93" s="5"/>
      <c r="Y93" s="5"/>
      <c r="Z93" s="5"/>
    </row>
    <row r="94" ht="15.75" customHeight="1">
      <c r="A94" s="7" t="s">
        <v>78</v>
      </c>
      <c r="B94" s="7" t="s">
        <v>758</v>
      </c>
      <c r="C94" s="7" t="s">
        <v>760</v>
      </c>
      <c r="D94" s="7" t="s">
        <v>762</v>
      </c>
      <c r="E94" s="7" t="s">
        <v>152</v>
      </c>
      <c r="F94" s="7" t="s">
        <v>128</v>
      </c>
      <c r="G94" s="7" t="s">
        <v>93</v>
      </c>
      <c r="H94" s="7" t="s">
        <v>195</v>
      </c>
      <c r="I94" s="7"/>
      <c r="J94" s="7" t="s">
        <v>415</v>
      </c>
      <c r="K94" s="7">
        <v>0.191535539880629</v>
      </c>
      <c r="L94" s="7" t="s">
        <v>88</v>
      </c>
      <c r="M94" s="16" t="s">
        <v>472</v>
      </c>
      <c r="N94" s="5"/>
      <c r="O94" s="5"/>
      <c r="P94" s="5"/>
      <c r="Q94" s="5"/>
      <c r="R94" s="5"/>
      <c r="S94" s="5"/>
      <c r="T94" s="5"/>
      <c r="U94" s="5"/>
      <c r="V94" s="5"/>
      <c r="W94" s="5"/>
      <c r="X94" s="5"/>
      <c r="Y94" s="5"/>
      <c r="Z94" s="5"/>
    </row>
    <row r="95" ht="15.75" customHeight="1">
      <c r="A95" s="7" t="s">
        <v>78</v>
      </c>
      <c r="B95" s="7" t="s">
        <v>767</v>
      </c>
      <c r="C95" s="7" t="s">
        <v>769</v>
      </c>
      <c r="D95" s="7" t="s">
        <v>762</v>
      </c>
      <c r="E95" s="7" t="s">
        <v>152</v>
      </c>
      <c r="F95" s="7" t="s">
        <v>128</v>
      </c>
      <c r="G95" s="7" t="s">
        <v>93</v>
      </c>
      <c r="H95" s="7" t="s">
        <v>195</v>
      </c>
      <c r="I95" s="7"/>
      <c r="J95" s="7" t="s">
        <v>155</v>
      </c>
      <c r="K95" s="7">
        <v>0.191998317648914</v>
      </c>
      <c r="L95" s="7" t="s">
        <v>88</v>
      </c>
      <c r="M95" s="16" t="s">
        <v>472</v>
      </c>
      <c r="N95" s="5"/>
      <c r="O95" s="5"/>
      <c r="P95" s="5"/>
      <c r="Q95" s="5"/>
      <c r="R95" s="5"/>
      <c r="S95" s="5"/>
      <c r="T95" s="5"/>
      <c r="U95" s="5"/>
      <c r="V95" s="5"/>
      <c r="W95" s="5"/>
      <c r="X95" s="5"/>
      <c r="Y95" s="5"/>
      <c r="Z95" s="5"/>
    </row>
    <row r="96" ht="15.75" customHeight="1">
      <c r="A96" s="7" t="s">
        <v>78</v>
      </c>
      <c r="B96" s="7" t="s">
        <v>781</v>
      </c>
      <c r="C96" s="7" t="s">
        <v>782</v>
      </c>
      <c r="D96" s="7" t="s">
        <v>762</v>
      </c>
      <c r="E96" s="7" t="s">
        <v>89</v>
      </c>
      <c r="F96" s="7" t="s">
        <v>145</v>
      </c>
      <c r="G96" s="7" t="s">
        <v>93</v>
      </c>
      <c r="H96" s="7" t="s">
        <v>195</v>
      </c>
      <c r="I96" s="7"/>
      <c r="J96" s="7" t="s">
        <v>415</v>
      </c>
      <c r="K96" s="7">
        <v>0.179844421223732</v>
      </c>
      <c r="L96" s="7" t="s">
        <v>135</v>
      </c>
      <c r="M96" s="16" t="s">
        <v>472</v>
      </c>
      <c r="N96" s="5"/>
      <c r="O96" s="5"/>
      <c r="P96" s="5"/>
      <c r="Q96" s="5"/>
      <c r="R96" s="5"/>
      <c r="S96" s="5"/>
      <c r="T96" s="5"/>
      <c r="U96" s="5"/>
      <c r="V96" s="5"/>
      <c r="W96" s="5"/>
      <c r="X96" s="5"/>
      <c r="Y96" s="5"/>
      <c r="Z96" s="5"/>
    </row>
    <row r="97" ht="15.75" customHeight="1">
      <c r="A97" s="7" t="s">
        <v>78</v>
      </c>
      <c r="B97" s="7" t="s">
        <v>783</v>
      </c>
      <c r="C97" s="7" t="s">
        <v>784</v>
      </c>
      <c r="D97" s="7" t="s">
        <v>785</v>
      </c>
      <c r="E97" s="7" t="s">
        <v>89</v>
      </c>
      <c r="F97" s="7" t="s">
        <v>91</v>
      </c>
      <c r="G97" s="7" t="s">
        <v>156</v>
      </c>
      <c r="H97" s="7" t="s">
        <v>373</v>
      </c>
      <c r="I97" s="7"/>
      <c r="J97" s="7" t="s">
        <v>98</v>
      </c>
      <c r="K97" s="7">
        <v>0.945481761600882</v>
      </c>
      <c r="L97" s="7" t="s">
        <v>88</v>
      </c>
      <c r="M97" s="16" t="s">
        <v>643</v>
      </c>
      <c r="N97" s="5"/>
      <c r="O97" s="5"/>
      <c r="P97" s="5"/>
      <c r="Q97" s="5"/>
      <c r="R97" s="5"/>
      <c r="S97" s="5"/>
      <c r="T97" s="5"/>
      <c r="U97" s="5"/>
      <c r="V97" s="5"/>
      <c r="W97" s="5"/>
      <c r="X97" s="5"/>
      <c r="Y97" s="5"/>
      <c r="Z97" s="5"/>
    </row>
    <row r="98" ht="15.75" customHeight="1">
      <c r="A98" s="7" t="s">
        <v>78</v>
      </c>
      <c r="B98" s="7" t="s">
        <v>790</v>
      </c>
      <c r="C98" s="7" t="s">
        <v>791</v>
      </c>
      <c r="D98" s="7" t="s">
        <v>661</v>
      </c>
      <c r="E98" s="7" t="s">
        <v>152</v>
      </c>
      <c r="F98" s="7" t="s">
        <v>91</v>
      </c>
      <c r="G98" s="7" t="s">
        <v>156</v>
      </c>
      <c r="H98" s="7" t="s">
        <v>663</v>
      </c>
      <c r="I98" s="7"/>
      <c r="J98" s="7" t="s">
        <v>98</v>
      </c>
      <c r="K98" s="7">
        <v>0.863443107299849</v>
      </c>
      <c r="L98" s="7" t="s">
        <v>88</v>
      </c>
      <c r="M98" s="16" t="s">
        <v>661</v>
      </c>
      <c r="N98" s="5"/>
      <c r="O98" s="5"/>
      <c r="P98" s="5"/>
      <c r="Q98" s="5"/>
      <c r="R98" s="5"/>
      <c r="S98" s="5"/>
      <c r="T98" s="5"/>
      <c r="U98" s="5"/>
      <c r="V98" s="5"/>
      <c r="W98" s="5"/>
      <c r="X98" s="5"/>
      <c r="Y98" s="5"/>
      <c r="Z98" s="5"/>
    </row>
    <row r="99" ht="15.75" customHeight="1">
      <c r="A99" s="7" t="s">
        <v>78</v>
      </c>
      <c r="B99" s="7" t="s">
        <v>796</v>
      </c>
      <c r="C99" s="7" t="s">
        <v>797</v>
      </c>
      <c r="D99" s="7" t="s">
        <v>674</v>
      </c>
      <c r="E99" s="7" t="s">
        <v>89</v>
      </c>
      <c r="F99" s="7" t="s">
        <v>91</v>
      </c>
      <c r="G99" s="7" t="s">
        <v>156</v>
      </c>
      <c r="H99" s="7" t="s">
        <v>118</v>
      </c>
      <c r="I99" s="7" t="s">
        <v>676</v>
      </c>
      <c r="J99" s="7" t="s">
        <v>98</v>
      </c>
      <c r="K99" s="7">
        <v>0.583023366714354</v>
      </c>
      <c r="L99" s="7" t="s">
        <v>88</v>
      </c>
      <c r="M99" s="16" t="s">
        <v>674</v>
      </c>
      <c r="N99" s="5"/>
      <c r="O99" s="5"/>
      <c r="P99" s="5"/>
      <c r="Q99" s="5"/>
      <c r="R99" s="5"/>
      <c r="S99" s="5"/>
      <c r="T99" s="5"/>
      <c r="U99" s="5"/>
      <c r="V99" s="5"/>
      <c r="W99" s="5"/>
      <c r="X99" s="5"/>
      <c r="Y99" s="5"/>
      <c r="Z99" s="5"/>
    </row>
    <row r="100" ht="15.75" customHeight="1">
      <c r="A100" s="7" t="s">
        <v>78</v>
      </c>
      <c r="B100" s="7" t="s">
        <v>798</v>
      </c>
      <c r="C100" s="7" t="s">
        <v>799</v>
      </c>
      <c r="D100" s="7" t="s">
        <v>800</v>
      </c>
      <c r="E100" s="7" t="s">
        <v>89</v>
      </c>
      <c r="F100" s="7" t="s">
        <v>92</v>
      </c>
      <c r="G100" s="7" t="s">
        <v>93</v>
      </c>
      <c r="H100" s="7" t="s">
        <v>118</v>
      </c>
      <c r="I100" s="7"/>
      <c r="J100" s="7" t="s">
        <v>415</v>
      </c>
      <c r="K100" s="7">
        <v>0.357892255098432</v>
      </c>
      <c r="L100" s="7" t="s">
        <v>88</v>
      </c>
      <c r="M100" s="16" t="s">
        <v>801</v>
      </c>
      <c r="N100" s="5"/>
      <c r="O100" s="5"/>
      <c r="P100" s="5"/>
      <c r="Q100" s="5"/>
      <c r="R100" s="5"/>
      <c r="S100" s="5"/>
      <c r="T100" s="5"/>
      <c r="U100" s="5"/>
      <c r="V100" s="5"/>
      <c r="W100" s="5"/>
      <c r="X100" s="5"/>
      <c r="Y100" s="5"/>
      <c r="Z100" s="5"/>
    </row>
    <row r="101" ht="15.75" customHeight="1">
      <c r="A101" s="7" t="s">
        <v>78</v>
      </c>
      <c r="B101" s="7" t="s">
        <v>802</v>
      </c>
      <c r="C101" s="7" t="s">
        <v>803</v>
      </c>
      <c r="D101" s="7" t="s">
        <v>800</v>
      </c>
      <c r="E101" s="7" t="s">
        <v>89</v>
      </c>
      <c r="F101" s="7" t="s">
        <v>145</v>
      </c>
      <c r="G101" s="7" t="s">
        <v>93</v>
      </c>
      <c r="H101" s="7" t="s">
        <v>118</v>
      </c>
      <c r="I101" s="7"/>
      <c r="J101" s="7" t="s">
        <v>415</v>
      </c>
      <c r="K101" s="7">
        <v>0.373125302370585</v>
      </c>
      <c r="L101" s="7" t="s">
        <v>88</v>
      </c>
      <c r="M101" s="16" t="s">
        <v>801</v>
      </c>
      <c r="N101" s="5"/>
      <c r="O101" s="5"/>
      <c r="P101" s="5"/>
      <c r="Q101" s="5"/>
      <c r="R101" s="5"/>
      <c r="S101" s="5"/>
      <c r="T101" s="5"/>
      <c r="U101" s="5"/>
      <c r="V101" s="5"/>
      <c r="W101" s="5"/>
      <c r="X101" s="5"/>
      <c r="Y101" s="5"/>
      <c r="Z101" s="5"/>
    </row>
    <row r="102" ht="15.75" customHeight="1">
      <c r="A102" s="7" t="s">
        <v>78</v>
      </c>
      <c r="B102" s="7" t="s">
        <v>804</v>
      </c>
      <c r="C102" s="7" t="s">
        <v>805</v>
      </c>
      <c r="D102" s="7" t="s">
        <v>800</v>
      </c>
      <c r="E102" s="7" t="s">
        <v>89</v>
      </c>
      <c r="F102" s="7" t="s">
        <v>145</v>
      </c>
      <c r="G102" s="7" t="s">
        <v>93</v>
      </c>
      <c r="H102" s="7" t="s">
        <v>118</v>
      </c>
      <c r="I102" s="7"/>
      <c r="J102" s="7" t="s">
        <v>415</v>
      </c>
      <c r="K102" s="7">
        <v>0.38009644892591</v>
      </c>
      <c r="L102" s="7" t="s">
        <v>88</v>
      </c>
      <c r="M102" s="16" t="s">
        <v>801</v>
      </c>
      <c r="N102" s="5"/>
      <c r="O102" s="5"/>
      <c r="P102" s="5"/>
      <c r="Q102" s="5"/>
      <c r="R102" s="5"/>
      <c r="S102" s="5"/>
      <c r="T102" s="5"/>
      <c r="U102" s="5"/>
      <c r="V102" s="5"/>
      <c r="W102" s="5"/>
      <c r="X102" s="5"/>
      <c r="Y102" s="5"/>
      <c r="Z102" s="5"/>
    </row>
    <row r="103" ht="15.75" customHeight="1">
      <c r="A103" s="7" t="s">
        <v>78</v>
      </c>
      <c r="B103" s="7" t="s">
        <v>808</v>
      </c>
      <c r="C103" s="7" t="s">
        <v>809</v>
      </c>
      <c r="D103" s="7" t="s">
        <v>717</v>
      </c>
      <c r="E103" s="7" t="s">
        <v>152</v>
      </c>
      <c r="F103" s="7" t="s">
        <v>145</v>
      </c>
      <c r="G103" s="7" t="s">
        <v>130</v>
      </c>
      <c r="H103" s="7"/>
      <c r="I103" s="7"/>
      <c r="J103" s="7" t="s">
        <v>415</v>
      </c>
      <c r="K103" s="7" t="s">
        <v>135</v>
      </c>
      <c r="L103" s="7" t="s">
        <v>135</v>
      </c>
      <c r="M103" s="16" t="s">
        <v>717</v>
      </c>
      <c r="N103" s="5"/>
      <c r="O103" s="5"/>
      <c r="P103" s="5"/>
      <c r="Q103" s="5"/>
      <c r="R103" s="5"/>
      <c r="S103" s="5"/>
      <c r="T103" s="5"/>
      <c r="U103" s="5"/>
      <c r="V103" s="5"/>
      <c r="W103" s="5"/>
      <c r="X103" s="5"/>
      <c r="Y103" s="5"/>
      <c r="Z103" s="5"/>
    </row>
    <row r="104" ht="15.75" customHeight="1">
      <c r="A104" s="7" t="s">
        <v>78</v>
      </c>
      <c r="B104" s="7" t="s">
        <v>813</v>
      </c>
      <c r="C104" s="7" t="s">
        <v>814</v>
      </c>
      <c r="D104" s="7" t="s">
        <v>717</v>
      </c>
      <c r="E104" s="7" t="s">
        <v>89</v>
      </c>
      <c r="F104" s="7" t="s">
        <v>145</v>
      </c>
      <c r="G104" s="7" t="s">
        <v>156</v>
      </c>
      <c r="H104" s="7" t="s">
        <v>593</v>
      </c>
      <c r="I104" s="7"/>
      <c r="J104" s="7" t="s">
        <v>155</v>
      </c>
      <c r="K104" s="7" t="s">
        <v>135</v>
      </c>
      <c r="L104" s="7" t="s">
        <v>135</v>
      </c>
      <c r="M104" s="16" t="s">
        <v>717</v>
      </c>
      <c r="N104" s="5"/>
      <c r="O104" s="5"/>
      <c r="P104" s="5"/>
      <c r="Q104" s="5"/>
      <c r="R104" s="5"/>
      <c r="S104" s="5"/>
      <c r="T104" s="5"/>
      <c r="U104" s="5"/>
      <c r="V104" s="5"/>
      <c r="W104" s="5"/>
      <c r="X104" s="5"/>
      <c r="Y104" s="5"/>
      <c r="Z104" s="5"/>
    </row>
    <row r="105" ht="15.75" customHeight="1">
      <c r="A105" s="7" t="s">
        <v>78</v>
      </c>
      <c r="B105" s="7" t="s">
        <v>821</v>
      </c>
      <c r="C105" s="7" t="s">
        <v>822</v>
      </c>
      <c r="D105" s="7" t="s">
        <v>823</v>
      </c>
      <c r="E105" s="7" t="s">
        <v>89</v>
      </c>
      <c r="F105" s="7" t="s">
        <v>145</v>
      </c>
      <c r="G105" s="7" t="s">
        <v>156</v>
      </c>
      <c r="H105" s="7" t="s">
        <v>732</v>
      </c>
      <c r="I105" s="7" t="s">
        <v>824</v>
      </c>
      <c r="J105" s="7" t="s">
        <v>155</v>
      </c>
      <c r="K105" s="7">
        <v>0.0755164451101542</v>
      </c>
      <c r="L105" s="7" t="s">
        <v>135</v>
      </c>
      <c r="M105" s="16" t="s">
        <v>730</v>
      </c>
      <c r="N105" s="5"/>
      <c r="O105" s="5"/>
      <c r="P105" s="5"/>
      <c r="Q105" s="5"/>
      <c r="R105" s="5"/>
      <c r="S105" s="5"/>
      <c r="T105" s="5"/>
      <c r="U105" s="5"/>
      <c r="V105" s="5"/>
      <c r="W105" s="5"/>
      <c r="X105" s="5"/>
      <c r="Y105" s="5"/>
      <c r="Z105" s="5"/>
    </row>
    <row r="106" ht="15.75" customHeight="1">
      <c r="A106" s="7" t="s">
        <v>78</v>
      </c>
      <c r="B106" s="7" t="s">
        <v>823</v>
      </c>
      <c r="C106" s="7" t="s">
        <v>825</v>
      </c>
      <c r="D106" s="7" t="s">
        <v>823</v>
      </c>
      <c r="E106" s="7" t="s">
        <v>152</v>
      </c>
      <c r="F106" s="7" t="s">
        <v>145</v>
      </c>
      <c r="G106" s="7" t="s">
        <v>156</v>
      </c>
      <c r="H106" s="7" t="s">
        <v>697</v>
      </c>
      <c r="I106" s="7" t="s">
        <v>696</v>
      </c>
      <c r="J106" s="7" t="s">
        <v>415</v>
      </c>
      <c r="K106" s="7" t="s">
        <v>135</v>
      </c>
      <c r="L106" s="7" t="s">
        <v>88</v>
      </c>
      <c r="M106" s="16" t="s">
        <v>730</v>
      </c>
      <c r="N106" s="5"/>
      <c r="O106" s="5"/>
      <c r="P106" s="5"/>
      <c r="Q106" s="5"/>
      <c r="R106" s="5"/>
      <c r="S106" s="5"/>
      <c r="T106" s="5"/>
      <c r="U106" s="5"/>
      <c r="V106" s="5"/>
      <c r="W106" s="5"/>
      <c r="X106" s="5"/>
      <c r="Y106" s="5"/>
      <c r="Z106" s="5"/>
    </row>
    <row r="107" ht="15.75" customHeight="1">
      <c r="A107" s="7" t="s">
        <v>78</v>
      </c>
      <c r="B107" s="7" t="s">
        <v>826</v>
      </c>
      <c r="C107" s="7" t="s">
        <v>827</v>
      </c>
      <c r="D107" s="7" t="s">
        <v>828</v>
      </c>
      <c r="E107" s="7" t="s">
        <v>152</v>
      </c>
      <c r="F107" s="7" t="s">
        <v>92</v>
      </c>
      <c r="G107" s="7" t="s">
        <v>156</v>
      </c>
      <c r="H107" s="7" t="s">
        <v>557</v>
      </c>
      <c r="I107" s="7" t="s">
        <v>455</v>
      </c>
      <c r="J107" s="7" t="s">
        <v>415</v>
      </c>
      <c r="K107" s="7">
        <v>0.416551724137931</v>
      </c>
      <c r="L107" s="7" t="s">
        <v>88</v>
      </c>
      <c r="M107" s="16" t="s">
        <v>744</v>
      </c>
      <c r="N107" s="5"/>
      <c r="O107" s="5"/>
      <c r="P107" s="5"/>
      <c r="Q107" s="5"/>
      <c r="R107" s="5"/>
      <c r="S107" s="5"/>
      <c r="T107" s="5"/>
      <c r="U107" s="5"/>
      <c r="V107" s="5"/>
      <c r="W107" s="5"/>
      <c r="X107" s="5"/>
      <c r="Y107" s="5"/>
      <c r="Z107" s="5"/>
    </row>
    <row r="108" ht="15.75" customHeight="1">
      <c r="A108" s="7" t="s">
        <v>78</v>
      </c>
      <c r="B108" s="7" t="s">
        <v>830</v>
      </c>
      <c r="C108" s="7" t="s">
        <v>831</v>
      </c>
      <c r="D108" s="7" t="s">
        <v>828</v>
      </c>
      <c r="E108" s="7" t="s">
        <v>89</v>
      </c>
      <c r="F108" s="7" t="s">
        <v>128</v>
      </c>
      <c r="G108" s="7" t="s">
        <v>156</v>
      </c>
      <c r="H108" s="7" t="s">
        <v>557</v>
      </c>
      <c r="I108" s="7" t="s">
        <v>455</v>
      </c>
      <c r="J108" s="7" t="s">
        <v>415</v>
      </c>
      <c r="K108" s="7">
        <v>0.579919215233699</v>
      </c>
      <c r="L108" s="7" t="s">
        <v>88</v>
      </c>
      <c r="M108" s="16" t="s">
        <v>744</v>
      </c>
      <c r="N108" s="5"/>
      <c r="O108" s="5"/>
      <c r="P108" s="5"/>
      <c r="Q108" s="5"/>
      <c r="R108" s="5"/>
      <c r="S108" s="5"/>
      <c r="T108" s="5"/>
      <c r="U108" s="5"/>
      <c r="V108" s="5"/>
      <c r="W108" s="5"/>
      <c r="X108" s="5"/>
      <c r="Y108" s="5"/>
      <c r="Z108" s="5"/>
    </row>
    <row r="109" ht="15.75" customHeight="1">
      <c r="A109" s="7" t="s">
        <v>78</v>
      </c>
      <c r="B109" s="7" t="s">
        <v>834</v>
      </c>
      <c r="C109" s="7" t="s">
        <v>835</v>
      </c>
      <c r="D109" s="7" t="s">
        <v>834</v>
      </c>
      <c r="E109" s="7" t="s">
        <v>152</v>
      </c>
      <c r="F109" s="7" t="s">
        <v>92</v>
      </c>
      <c r="G109" s="7" t="s">
        <v>94</v>
      </c>
      <c r="H109" s="7"/>
      <c r="I109" s="7"/>
      <c r="J109" s="7" t="s">
        <v>134</v>
      </c>
      <c r="K109" s="7" t="s">
        <v>135</v>
      </c>
      <c r="L109" s="7" t="s">
        <v>88</v>
      </c>
      <c r="M109" s="16" t="s">
        <v>744</v>
      </c>
      <c r="N109" s="5"/>
      <c r="O109" s="5"/>
      <c r="P109" s="5"/>
      <c r="Q109" s="5"/>
      <c r="R109" s="5"/>
      <c r="S109" s="5"/>
      <c r="T109" s="5"/>
      <c r="U109" s="5"/>
      <c r="V109" s="5"/>
      <c r="W109" s="5"/>
      <c r="X109" s="5"/>
      <c r="Y109" s="5"/>
      <c r="Z109" s="5"/>
    </row>
    <row r="110" ht="15.75" customHeight="1">
      <c r="A110" s="7" t="s">
        <v>78</v>
      </c>
      <c r="B110" s="7" t="s">
        <v>841</v>
      </c>
      <c r="C110" s="7" t="s">
        <v>842</v>
      </c>
      <c r="D110" s="7" t="s">
        <v>828</v>
      </c>
      <c r="E110" s="7" t="s">
        <v>89</v>
      </c>
      <c r="F110" s="7" t="s">
        <v>91</v>
      </c>
      <c r="G110" s="7" t="s">
        <v>130</v>
      </c>
      <c r="H110" s="7"/>
      <c r="I110" s="7"/>
      <c r="J110" s="7" t="s">
        <v>134</v>
      </c>
      <c r="K110" s="7">
        <v>0.376175548589342</v>
      </c>
      <c r="L110" s="7" t="s">
        <v>88</v>
      </c>
      <c r="M110" s="16" t="s">
        <v>744</v>
      </c>
      <c r="N110" s="5"/>
      <c r="O110" s="5"/>
      <c r="P110" s="5"/>
      <c r="Q110" s="5"/>
      <c r="R110" s="5"/>
      <c r="S110" s="5"/>
      <c r="T110" s="5"/>
      <c r="U110" s="5"/>
      <c r="V110" s="5"/>
      <c r="W110" s="5"/>
      <c r="X110" s="5"/>
      <c r="Y110" s="5"/>
      <c r="Z110" s="5"/>
    </row>
    <row r="111" ht="15.75" customHeight="1">
      <c r="A111" s="7" t="s">
        <v>78</v>
      </c>
      <c r="B111" s="7" t="s">
        <v>843</v>
      </c>
      <c r="C111" s="7" t="s">
        <v>844</v>
      </c>
      <c r="D111" s="7" t="s">
        <v>845</v>
      </c>
      <c r="E111" s="7" t="s">
        <v>89</v>
      </c>
      <c r="F111" s="7" t="s">
        <v>91</v>
      </c>
      <c r="G111" s="7" t="s">
        <v>93</v>
      </c>
      <c r="H111" s="7" t="s">
        <v>593</v>
      </c>
      <c r="I111" s="7"/>
      <c r="J111" s="7" t="s">
        <v>155</v>
      </c>
      <c r="K111" s="7">
        <v>0.813089864587608</v>
      </c>
      <c r="L111" s="7" t="s">
        <v>88</v>
      </c>
      <c r="M111" s="16" t="s">
        <v>761</v>
      </c>
      <c r="N111" s="5"/>
      <c r="O111" s="5"/>
      <c r="P111" s="5"/>
      <c r="Q111" s="5"/>
      <c r="R111" s="5"/>
      <c r="S111" s="5"/>
      <c r="T111" s="5"/>
      <c r="U111" s="5"/>
      <c r="V111" s="5"/>
      <c r="W111" s="5"/>
      <c r="X111" s="5"/>
      <c r="Y111" s="5"/>
      <c r="Z111" s="5"/>
    </row>
    <row r="112" ht="15.75" customHeight="1">
      <c r="A112" s="7" t="s">
        <v>78</v>
      </c>
      <c r="B112" s="7" t="s">
        <v>846</v>
      </c>
      <c r="C112" s="7" t="s">
        <v>847</v>
      </c>
      <c r="D112" s="7" t="s">
        <v>845</v>
      </c>
      <c r="E112" s="7" t="s">
        <v>89</v>
      </c>
      <c r="F112" s="7" t="s">
        <v>91</v>
      </c>
      <c r="G112" s="7" t="s">
        <v>669</v>
      </c>
      <c r="H112" s="7"/>
      <c r="I112" s="7"/>
      <c r="J112" s="7" t="s">
        <v>134</v>
      </c>
      <c r="K112" s="7" t="s">
        <v>135</v>
      </c>
      <c r="L112" s="7" t="s">
        <v>88</v>
      </c>
      <c r="M112" s="16" t="s">
        <v>761</v>
      </c>
      <c r="N112" s="5"/>
      <c r="O112" s="5"/>
      <c r="P112" s="5"/>
      <c r="Q112" s="5"/>
      <c r="R112" s="5"/>
      <c r="S112" s="5"/>
      <c r="T112" s="5"/>
      <c r="U112" s="5"/>
      <c r="V112" s="5"/>
      <c r="W112" s="5"/>
      <c r="X112" s="5"/>
      <c r="Y112" s="5"/>
      <c r="Z112" s="5"/>
    </row>
    <row r="113" ht="15.75" customHeight="1">
      <c r="A113" s="7" t="s">
        <v>78</v>
      </c>
      <c r="B113" s="7" t="s">
        <v>848</v>
      </c>
      <c r="C113" s="7" t="s">
        <v>849</v>
      </c>
      <c r="D113" s="7" t="s">
        <v>845</v>
      </c>
      <c r="E113" s="7" t="s">
        <v>127</v>
      </c>
      <c r="F113" s="7" t="s">
        <v>145</v>
      </c>
      <c r="G113" s="7" t="s">
        <v>94</v>
      </c>
      <c r="H113" s="7"/>
      <c r="I113" s="7"/>
      <c r="J113" s="7" t="s">
        <v>134</v>
      </c>
      <c r="K113" s="7" t="s">
        <v>135</v>
      </c>
      <c r="L113" s="7" t="s">
        <v>88</v>
      </c>
      <c r="M113" s="16" t="s">
        <v>761</v>
      </c>
      <c r="N113" s="5"/>
      <c r="O113" s="5"/>
      <c r="P113" s="5"/>
      <c r="Q113" s="5"/>
      <c r="R113" s="5"/>
      <c r="S113" s="5"/>
      <c r="T113" s="5"/>
      <c r="U113" s="5"/>
      <c r="V113" s="5"/>
      <c r="W113" s="5"/>
      <c r="X113" s="5"/>
      <c r="Y113" s="5"/>
      <c r="Z113" s="5"/>
    </row>
    <row r="114" ht="15.75" customHeight="1">
      <c r="A114" s="7" t="s">
        <v>78</v>
      </c>
      <c r="B114" s="7" t="s">
        <v>853</v>
      </c>
      <c r="C114" s="7" t="s">
        <v>854</v>
      </c>
      <c r="D114" s="7" t="s">
        <v>772</v>
      </c>
      <c r="E114" s="7" t="s">
        <v>89</v>
      </c>
      <c r="F114" s="7" t="s">
        <v>92</v>
      </c>
      <c r="G114" s="7" t="s">
        <v>534</v>
      </c>
      <c r="H114" s="7" t="s">
        <v>593</v>
      </c>
      <c r="I114" s="7"/>
      <c r="J114" s="7" t="s">
        <v>134</v>
      </c>
      <c r="K114" s="7">
        <v>0.10515873015873</v>
      </c>
      <c r="L114" s="7" t="s">
        <v>88</v>
      </c>
      <c r="M114" s="16" t="s">
        <v>772</v>
      </c>
      <c r="N114" s="5"/>
      <c r="O114" s="5"/>
      <c r="P114" s="5"/>
      <c r="Q114" s="5"/>
      <c r="R114" s="5"/>
      <c r="S114" s="5"/>
      <c r="T114" s="5"/>
      <c r="U114" s="5"/>
      <c r="V114" s="5"/>
      <c r="W114" s="5"/>
      <c r="X114" s="5"/>
      <c r="Y114" s="5"/>
      <c r="Z114" s="5"/>
    </row>
    <row r="115" ht="15.75" customHeight="1">
      <c r="A115" s="7" t="s">
        <v>78</v>
      </c>
      <c r="B115" s="7" t="s">
        <v>857</v>
      </c>
      <c r="C115" s="7" t="s">
        <v>858</v>
      </c>
      <c r="D115" s="7" t="s">
        <v>772</v>
      </c>
      <c r="E115" s="7" t="s">
        <v>89</v>
      </c>
      <c r="F115" s="7" t="s">
        <v>92</v>
      </c>
      <c r="G115" s="7" t="s">
        <v>534</v>
      </c>
      <c r="H115" s="7" t="s">
        <v>593</v>
      </c>
      <c r="I115" s="7"/>
      <c r="J115" s="7" t="s">
        <v>134</v>
      </c>
      <c r="K115" s="7">
        <v>0.256909303230829</v>
      </c>
      <c r="L115" s="7" t="s">
        <v>88</v>
      </c>
      <c r="M115" s="16" t="s">
        <v>772</v>
      </c>
      <c r="N115" s="5"/>
      <c r="O115" s="5"/>
      <c r="P115" s="5"/>
      <c r="Q115" s="5"/>
      <c r="R115" s="5"/>
      <c r="S115" s="5"/>
      <c r="T115" s="5"/>
      <c r="U115" s="5"/>
      <c r="V115" s="5"/>
      <c r="W115" s="5"/>
      <c r="X115" s="5"/>
      <c r="Y115" s="5"/>
      <c r="Z115" s="5"/>
    </row>
    <row r="116" ht="15.75" customHeight="1">
      <c r="A116" s="7" t="s">
        <v>78</v>
      </c>
      <c r="B116" s="7" t="s">
        <v>863</v>
      </c>
      <c r="C116" s="7" t="s">
        <v>864</v>
      </c>
      <c r="D116" s="7" t="s">
        <v>772</v>
      </c>
      <c r="E116" s="7" t="s">
        <v>89</v>
      </c>
      <c r="F116" s="7" t="s">
        <v>92</v>
      </c>
      <c r="G116" s="7" t="s">
        <v>93</v>
      </c>
      <c r="H116" s="7" t="s">
        <v>773</v>
      </c>
      <c r="I116" s="7"/>
      <c r="J116" s="7" t="s">
        <v>134</v>
      </c>
      <c r="K116" s="7">
        <v>0.190524448948569</v>
      </c>
      <c r="L116" s="7" t="s">
        <v>88</v>
      </c>
      <c r="M116" s="16" t="s">
        <v>772</v>
      </c>
      <c r="N116" s="5"/>
      <c r="O116" s="5"/>
      <c r="P116" s="5"/>
      <c r="Q116" s="5"/>
      <c r="R116" s="5"/>
      <c r="S116" s="5"/>
      <c r="T116" s="5"/>
      <c r="U116" s="5"/>
      <c r="V116" s="5"/>
      <c r="W116" s="5"/>
      <c r="X116" s="5"/>
      <c r="Y116" s="5"/>
      <c r="Z116" s="5"/>
    </row>
    <row r="117" ht="15.75" customHeight="1">
      <c r="A117" s="7" t="s">
        <v>78</v>
      </c>
      <c r="B117" s="7" t="s">
        <v>865</v>
      </c>
      <c r="C117" s="7" t="s">
        <v>866</v>
      </c>
      <c r="D117" s="7" t="s">
        <v>772</v>
      </c>
      <c r="E117" s="7" t="s">
        <v>89</v>
      </c>
      <c r="F117" s="7" t="s">
        <v>128</v>
      </c>
      <c r="G117" s="7" t="s">
        <v>248</v>
      </c>
      <c r="H117" s="7" t="s">
        <v>593</v>
      </c>
      <c r="I117" s="7"/>
      <c r="J117" s="7" t="s">
        <v>415</v>
      </c>
      <c r="K117" s="7">
        <v>0.14533702677747</v>
      </c>
      <c r="L117" s="7" t="s">
        <v>88</v>
      </c>
      <c r="M117" s="16" t="s">
        <v>772</v>
      </c>
      <c r="N117" s="5"/>
      <c r="O117" s="5"/>
      <c r="P117" s="5"/>
      <c r="Q117" s="5"/>
      <c r="R117" s="5"/>
      <c r="S117" s="5"/>
      <c r="T117" s="5"/>
      <c r="U117" s="5"/>
      <c r="V117" s="5"/>
      <c r="W117" s="5"/>
      <c r="X117" s="5"/>
      <c r="Y117" s="5"/>
      <c r="Z117" s="5"/>
    </row>
    <row r="118" ht="15.75" customHeight="1">
      <c r="A118" s="7" t="s">
        <v>78</v>
      </c>
      <c r="B118" s="7" t="s">
        <v>867</v>
      </c>
      <c r="C118" s="7" t="s">
        <v>868</v>
      </c>
      <c r="D118" s="7" t="s">
        <v>772</v>
      </c>
      <c r="E118" s="7" t="s">
        <v>152</v>
      </c>
      <c r="F118" s="7" t="s">
        <v>91</v>
      </c>
      <c r="G118" s="7" t="s">
        <v>156</v>
      </c>
      <c r="H118" s="7" t="s">
        <v>593</v>
      </c>
      <c r="I118" s="7"/>
      <c r="J118" s="7" t="s">
        <v>134</v>
      </c>
      <c r="K118" s="7">
        <v>0.170020120724346</v>
      </c>
      <c r="L118" s="7" t="s">
        <v>88</v>
      </c>
      <c r="M118" s="16" t="s">
        <v>772</v>
      </c>
      <c r="N118" s="5"/>
      <c r="O118" s="5"/>
      <c r="P118" s="5"/>
      <c r="Q118" s="5"/>
      <c r="R118" s="5"/>
      <c r="S118" s="5"/>
      <c r="T118" s="5"/>
      <c r="U118" s="5"/>
      <c r="V118" s="5"/>
      <c r="W118" s="5"/>
      <c r="X118" s="5"/>
      <c r="Y118" s="5"/>
      <c r="Z118" s="5"/>
    </row>
    <row r="119" ht="15.75" customHeight="1">
      <c r="A119" s="7" t="s">
        <v>78</v>
      </c>
      <c r="B119" s="7" t="s">
        <v>869</v>
      </c>
      <c r="C119" s="7" t="s">
        <v>870</v>
      </c>
      <c r="D119" s="7" t="s">
        <v>871</v>
      </c>
      <c r="E119" s="7" t="s">
        <v>127</v>
      </c>
      <c r="F119" s="7" t="s">
        <v>92</v>
      </c>
      <c r="G119" s="7" t="s">
        <v>130</v>
      </c>
      <c r="H119" s="7"/>
      <c r="I119" s="7"/>
      <c r="J119" s="7" t="s">
        <v>134</v>
      </c>
      <c r="K119" s="7">
        <v>0.321212121212121</v>
      </c>
      <c r="L119" s="7" t="s">
        <v>88</v>
      </c>
      <c r="M119" s="16" t="s">
        <v>872</v>
      </c>
      <c r="N119" s="5"/>
      <c r="O119" s="5"/>
      <c r="P119" s="5"/>
      <c r="Q119" s="5"/>
      <c r="R119" s="5"/>
      <c r="S119" s="5"/>
      <c r="T119" s="5"/>
      <c r="U119" s="5"/>
      <c r="V119" s="5"/>
      <c r="W119" s="5"/>
      <c r="X119" s="5"/>
      <c r="Y119" s="5"/>
      <c r="Z119" s="5"/>
    </row>
    <row r="120" ht="15.75" customHeight="1">
      <c r="A120" s="7" t="s">
        <v>78</v>
      </c>
      <c r="B120" s="7" t="s">
        <v>873</v>
      </c>
      <c r="C120" s="7" t="s">
        <v>874</v>
      </c>
      <c r="D120" s="7" t="s">
        <v>871</v>
      </c>
      <c r="E120" s="7" t="s">
        <v>152</v>
      </c>
      <c r="F120" s="7" t="s">
        <v>145</v>
      </c>
      <c r="G120" s="7" t="s">
        <v>156</v>
      </c>
      <c r="H120" s="7" t="s">
        <v>96</v>
      </c>
      <c r="I120" s="7"/>
      <c r="J120" s="7" t="s">
        <v>415</v>
      </c>
      <c r="K120" s="7">
        <v>0.980358074048323</v>
      </c>
      <c r="L120" s="7" t="s">
        <v>88</v>
      </c>
      <c r="M120" s="16" t="s">
        <v>872</v>
      </c>
      <c r="N120" s="5"/>
      <c r="O120" s="5"/>
      <c r="P120" s="5"/>
      <c r="Q120" s="5"/>
      <c r="R120" s="5"/>
      <c r="S120" s="5"/>
      <c r="T120" s="5"/>
      <c r="U120" s="5"/>
      <c r="V120" s="5"/>
      <c r="W120" s="5"/>
      <c r="X120" s="5"/>
      <c r="Y120" s="5"/>
      <c r="Z120" s="5"/>
    </row>
    <row r="121" ht="15.75" customHeight="1">
      <c r="A121" s="7" t="s">
        <v>78</v>
      </c>
      <c r="B121" s="7" t="s">
        <v>878</v>
      </c>
      <c r="C121" s="7" t="s">
        <v>879</v>
      </c>
      <c r="D121" s="7" t="s">
        <v>871</v>
      </c>
      <c r="E121" s="7" t="s">
        <v>89</v>
      </c>
      <c r="F121" s="7" t="s">
        <v>92</v>
      </c>
      <c r="G121" s="7" t="s">
        <v>156</v>
      </c>
      <c r="H121" s="7" t="s">
        <v>96</v>
      </c>
      <c r="I121" s="7"/>
      <c r="J121" s="7" t="s">
        <v>415</v>
      </c>
      <c r="K121" s="7">
        <v>0.96061015640085</v>
      </c>
      <c r="L121" s="7" t="s">
        <v>88</v>
      </c>
      <c r="M121" s="16" t="s">
        <v>872</v>
      </c>
      <c r="N121" s="5"/>
      <c r="O121" s="5"/>
      <c r="P121" s="5"/>
      <c r="Q121" s="5"/>
      <c r="R121" s="5"/>
      <c r="S121" s="5"/>
      <c r="T121" s="5"/>
      <c r="U121" s="5"/>
      <c r="V121" s="5"/>
      <c r="W121" s="5"/>
      <c r="X121" s="5"/>
      <c r="Y121" s="5"/>
      <c r="Z121" s="5"/>
    </row>
    <row r="122" ht="15.75" customHeight="1">
      <c r="A122" s="7" t="s">
        <v>78</v>
      </c>
      <c r="B122" s="7" t="s">
        <v>880</v>
      </c>
      <c r="C122" s="7" t="s">
        <v>881</v>
      </c>
      <c r="D122" s="7" t="s">
        <v>810</v>
      </c>
      <c r="E122" s="7" t="s">
        <v>152</v>
      </c>
      <c r="F122" s="7" t="s">
        <v>91</v>
      </c>
      <c r="G122" s="7" t="s">
        <v>156</v>
      </c>
      <c r="H122" s="7" t="s">
        <v>736</v>
      </c>
      <c r="I122" s="7"/>
      <c r="J122" s="7" t="s">
        <v>155</v>
      </c>
      <c r="K122" s="7">
        <v>0.811619412071665</v>
      </c>
      <c r="L122" s="7" t="s">
        <v>88</v>
      </c>
      <c r="M122" s="16" t="s">
        <v>810</v>
      </c>
      <c r="N122" s="5"/>
      <c r="O122" s="5"/>
      <c r="P122" s="5"/>
      <c r="Q122" s="5"/>
      <c r="R122" s="5"/>
      <c r="S122" s="5"/>
      <c r="T122" s="5"/>
      <c r="U122" s="5"/>
      <c r="V122" s="5"/>
      <c r="W122" s="5"/>
      <c r="X122" s="5"/>
      <c r="Y122" s="5"/>
      <c r="Z122" s="5"/>
    </row>
    <row r="123" ht="15.75" customHeight="1">
      <c r="A123" s="7" t="s">
        <v>78</v>
      </c>
      <c r="B123" s="7" t="s">
        <v>886</v>
      </c>
      <c r="C123" s="7" t="s">
        <v>887</v>
      </c>
      <c r="D123" s="7" t="s">
        <v>888</v>
      </c>
      <c r="E123" s="7" t="s">
        <v>89</v>
      </c>
      <c r="F123" s="7" t="s">
        <v>145</v>
      </c>
      <c r="G123" s="7" t="s">
        <v>94</v>
      </c>
      <c r="H123" s="7"/>
      <c r="I123" s="7"/>
      <c r="J123" s="7" t="s">
        <v>134</v>
      </c>
      <c r="K123" s="7" t="s">
        <v>135</v>
      </c>
      <c r="L123" s="7" t="s">
        <v>88</v>
      </c>
      <c r="M123" s="16" t="s">
        <v>810</v>
      </c>
      <c r="N123" s="5"/>
      <c r="O123" s="5"/>
      <c r="P123" s="5"/>
      <c r="Q123" s="5"/>
      <c r="R123" s="5"/>
      <c r="S123" s="5"/>
      <c r="T123" s="5"/>
      <c r="U123" s="5"/>
      <c r="V123" s="5"/>
      <c r="W123" s="5"/>
      <c r="X123" s="5"/>
      <c r="Y123" s="5"/>
      <c r="Z123" s="5"/>
    </row>
    <row r="124" ht="15.75" customHeight="1">
      <c r="A124" s="7" t="s">
        <v>78</v>
      </c>
      <c r="B124" s="7" t="s">
        <v>889</v>
      </c>
      <c r="C124" s="7" t="s">
        <v>890</v>
      </c>
      <c r="D124" s="7" t="s">
        <v>832</v>
      </c>
      <c r="E124" s="7" t="s">
        <v>89</v>
      </c>
      <c r="F124" s="7" t="s">
        <v>145</v>
      </c>
      <c r="G124" s="7" t="s">
        <v>156</v>
      </c>
      <c r="H124" s="7" t="s">
        <v>593</v>
      </c>
      <c r="I124" s="7"/>
      <c r="J124" s="7" t="s">
        <v>155</v>
      </c>
      <c r="K124" s="7" t="s">
        <v>135</v>
      </c>
      <c r="L124" s="7" t="s">
        <v>135</v>
      </c>
      <c r="M124" s="16" t="s">
        <v>832</v>
      </c>
      <c r="N124" s="5"/>
      <c r="O124" s="5"/>
      <c r="P124" s="5"/>
      <c r="Q124" s="5"/>
      <c r="R124" s="5"/>
      <c r="S124" s="5"/>
      <c r="T124" s="5"/>
      <c r="U124" s="5"/>
      <c r="V124" s="5"/>
      <c r="W124" s="5"/>
      <c r="X124" s="5"/>
      <c r="Y124" s="5"/>
      <c r="Z124" s="5"/>
    </row>
    <row r="125" ht="15.75" customHeight="1">
      <c r="A125" s="7" t="s">
        <v>78</v>
      </c>
      <c r="B125" s="7" t="s">
        <v>891</v>
      </c>
      <c r="C125" s="7" t="s">
        <v>892</v>
      </c>
      <c r="D125" s="7" t="s">
        <v>832</v>
      </c>
      <c r="E125" s="7" t="s">
        <v>89</v>
      </c>
      <c r="F125" s="7" t="s">
        <v>145</v>
      </c>
      <c r="G125" s="7" t="s">
        <v>669</v>
      </c>
      <c r="H125" s="7"/>
      <c r="I125" s="7"/>
      <c r="J125" s="7" t="s">
        <v>134</v>
      </c>
      <c r="K125" s="7" t="s">
        <v>135</v>
      </c>
      <c r="L125" s="7" t="s">
        <v>135</v>
      </c>
      <c r="M125" s="16" t="s">
        <v>832</v>
      </c>
      <c r="N125" s="5"/>
      <c r="O125" s="5"/>
      <c r="P125" s="5"/>
      <c r="Q125" s="5"/>
      <c r="R125" s="5"/>
      <c r="S125" s="5"/>
      <c r="T125" s="5"/>
      <c r="U125" s="5"/>
      <c r="V125" s="5"/>
      <c r="W125" s="5"/>
      <c r="X125" s="5"/>
      <c r="Y125" s="5"/>
      <c r="Z125" s="5"/>
    </row>
    <row r="126" ht="15.75" customHeight="1">
      <c r="A126" s="7" t="s">
        <v>78</v>
      </c>
      <c r="B126" s="7" t="s">
        <v>893</v>
      </c>
      <c r="C126" s="7" t="s">
        <v>895</v>
      </c>
      <c r="D126" s="7" t="s">
        <v>325</v>
      </c>
      <c r="E126" s="7" t="s">
        <v>152</v>
      </c>
      <c r="F126" s="7" t="s">
        <v>128</v>
      </c>
      <c r="G126" s="7" t="s">
        <v>94</v>
      </c>
      <c r="H126" s="7"/>
      <c r="I126" s="7"/>
      <c r="J126" s="7" t="s">
        <v>155</v>
      </c>
      <c r="K126" s="7" t="s">
        <v>135</v>
      </c>
      <c r="L126" s="7" t="s">
        <v>72</v>
      </c>
      <c r="M126" s="16" t="s">
        <v>325</v>
      </c>
      <c r="N126" s="5"/>
      <c r="O126" s="5"/>
      <c r="P126" s="5"/>
      <c r="Q126" s="5"/>
      <c r="R126" s="5"/>
      <c r="S126" s="5"/>
      <c r="T126" s="5"/>
      <c r="U126" s="5"/>
      <c r="V126" s="5"/>
      <c r="W126" s="5"/>
      <c r="X126" s="5"/>
      <c r="Y126" s="5"/>
      <c r="Z126" s="5"/>
    </row>
    <row r="127" ht="15.75" customHeight="1">
      <c r="A127" s="7" t="s">
        <v>78</v>
      </c>
      <c r="B127" s="7" t="s">
        <v>899</v>
      </c>
      <c r="C127" s="7" t="s">
        <v>900</v>
      </c>
      <c r="D127" s="7" t="s">
        <v>901</v>
      </c>
      <c r="E127" s="7" t="s">
        <v>89</v>
      </c>
      <c r="F127" s="7" t="s">
        <v>128</v>
      </c>
      <c r="G127" s="7" t="s">
        <v>156</v>
      </c>
      <c r="H127" s="7" t="s">
        <v>736</v>
      </c>
      <c r="I127" s="7"/>
      <c r="J127" s="7" t="s">
        <v>155</v>
      </c>
      <c r="K127" s="7">
        <v>0.0262673753066231</v>
      </c>
      <c r="L127" s="7" t="s">
        <v>88</v>
      </c>
      <c r="M127" s="16" t="s">
        <v>877</v>
      </c>
      <c r="N127" s="5"/>
      <c r="O127" s="5"/>
      <c r="P127" s="5"/>
      <c r="Q127" s="5"/>
      <c r="R127" s="5"/>
      <c r="S127" s="5"/>
      <c r="T127" s="5"/>
      <c r="U127" s="5"/>
      <c r="V127" s="5"/>
      <c r="W127" s="5"/>
      <c r="X127" s="5"/>
      <c r="Y127" s="5"/>
      <c r="Z127" s="5"/>
    </row>
    <row r="128" ht="15.75" customHeight="1">
      <c r="A128" s="7" t="s">
        <v>78</v>
      </c>
      <c r="B128" s="7" t="s">
        <v>904</v>
      </c>
      <c r="C128" s="7" t="s">
        <v>905</v>
      </c>
      <c r="D128" s="7" t="s">
        <v>897</v>
      </c>
      <c r="E128" s="7" t="s">
        <v>152</v>
      </c>
      <c r="F128" s="7" t="s">
        <v>128</v>
      </c>
      <c r="G128" s="7" t="s">
        <v>93</v>
      </c>
      <c r="H128" s="7" t="s">
        <v>697</v>
      </c>
      <c r="I128" s="7"/>
      <c r="J128" s="7" t="s">
        <v>155</v>
      </c>
      <c r="K128" s="7">
        <v>0.0313023450586265</v>
      </c>
      <c r="L128" s="7" t="s">
        <v>88</v>
      </c>
      <c r="M128" s="16" t="s">
        <v>897</v>
      </c>
      <c r="N128" s="5"/>
      <c r="O128" s="5"/>
      <c r="P128" s="5"/>
      <c r="Q128" s="5"/>
      <c r="R128" s="5"/>
      <c r="S128" s="5"/>
      <c r="T128" s="5"/>
      <c r="U128" s="5"/>
      <c r="V128" s="5"/>
      <c r="W128" s="5"/>
      <c r="X128" s="5"/>
      <c r="Y128" s="5"/>
      <c r="Z128" s="5"/>
    </row>
    <row r="129" ht="15.75" customHeight="1">
      <c r="A129" s="7" t="s">
        <v>78</v>
      </c>
      <c r="B129" s="7" t="s">
        <v>906</v>
      </c>
      <c r="C129" s="7" t="s">
        <v>907</v>
      </c>
      <c r="D129" s="7" t="s">
        <v>908</v>
      </c>
      <c r="E129" s="7" t="s">
        <v>152</v>
      </c>
      <c r="F129" s="7" t="s">
        <v>92</v>
      </c>
      <c r="G129" s="7" t="s">
        <v>156</v>
      </c>
      <c r="H129" s="7" t="s">
        <v>697</v>
      </c>
      <c r="I129" s="7"/>
      <c r="J129" s="7" t="s">
        <v>155</v>
      </c>
      <c r="K129" s="7">
        <v>0.0033167495854063</v>
      </c>
      <c r="L129" s="7" t="s">
        <v>88</v>
      </c>
      <c r="M129" s="16" t="s">
        <v>908</v>
      </c>
      <c r="N129" s="5"/>
      <c r="O129" s="5"/>
      <c r="P129" s="5"/>
      <c r="Q129" s="5"/>
      <c r="R129" s="5"/>
      <c r="S129" s="5"/>
      <c r="T129" s="5"/>
      <c r="U129" s="5"/>
      <c r="V129" s="5"/>
      <c r="W129" s="5"/>
      <c r="X129" s="5"/>
      <c r="Y129" s="5"/>
      <c r="Z129" s="5"/>
    </row>
    <row r="130" ht="15.75" customHeight="1">
      <c r="A130" s="7" t="s">
        <v>78</v>
      </c>
      <c r="B130" s="7" t="s">
        <v>909</v>
      </c>
      <c r="C130" s="7" t="s">
        <v>910</v>
      </c>
      <c r="D130" s="7" t="s">
        <v>909</v>
      </c>
      <c r="E130" s="7" t="s">
        <v>152</v>
      </c>
      <c r="F130" s="7" t="s">
        <v>91</v>
      </c>
      <c r="G130" s="7" t="s">
        <v>248</v>
      </c>
      <c r="H130" s="7" t="s">
        <v>742</v>
      </c>
      <c r="I130" s="7"/>
      <c r="J130" s="7" t="s">
        <v>155</v>
      </c>
      <c r="K130" s="7">
        <v>0.214073958495865</v>
      </c>
      <c r="L130" s="7" t="s">
        <v>88</v>
      </c>
      <c r="M130" s="16" t="s">
        <v>912</v>
      </c>
      <c r="N130" s="5"/>
      <c r="O130" s="5"/>
      <c r="P130" s="5"/>
      <c r="Q130" s="5"/>
      <c r="R130" s="5"/>
      <c r="S130" s="5"/>
      <c r="T130" s="5"/>
      <c r="U130" s="5"/>
      <c r="V130" s="5"/>
      <c r="W130" s="5"/>
      <c r="X130" s="5"/>
      <c r="Y130" s="5"/>
      <c r="Z130" s="5"/>
    </row>
    <row r="131" ht="15.75" customHeight="1">
      <c r="A131" s="7" t="s">
        <v>78</v>
      </c>
      <c r="B131" s="7" t="s">
        <v>913</v>
      </c>
      <c r="C131" s="7" t="s">
        <v>914</v>
      </c>
      <c r="D131" s="7" t="s">
        <v>913</v>
      </c>
      <c r="E131" s="7" t="s">
        <v>152</v>
      </c>
      <c r="F131" s="7" t="s">
        <v>91</v>
      </c>
      <c r="G131" s="7" t="s">
        <v>94</v>
      </c>
      <c r="H131" s="7"/>
      <c r="I131" s="7"/>
      <c r="J131" s="7" t="s">
        <v>155</v>
      </c>
      <c r="K131" s="7" t="s">
        <v>135</v>
      </c>
      <c r="L131" s="7" t="s">
        <v>135</v>
      </c>
      <c r="M131" s="16" t="s">
        <v>916</v>
      </c>
      <c r="N131" s="5"/>
      <c r="O131" s="5"/>
      <c r="P131" s="5"/>
      <c r="Q131" s="5"/>
      <c r="R131" s="5"/>
      <c r="S131" s="5"/>
      <c r="T131" s="5"/>
      <c r="U131" s="5"/>
      <c r="V131" s="5"/>
      <c r="W131" s="5"/>
      <c r="X131" s="5"/>
      <c r="Y131" s="5"/>
      <c r="Z131" s="5"/>
    </row>
    <row r="132" ht="15.75" customHeight="1">
      <c r="A132" s="7" t="s">
        <v>78</v>
      </c>
      <c r="B132" s="7" t="s">
        <v>917</v>
      </c>
      <c r="C132" s="7" t="s">
        <v>918</v>
      </c>
      <c r="D132" s="7" t="s">
        <v>919</v>
      </c>
      <c r="E132" s="7" t="s">
        <v>89</v>
      </c>
      <c r="F132" s="7" t="s">
        <v>145</v>
      </c>
      <c r="G132" s="7" t="s">
        <v>156</v>
      </c>
      <c r="H132" s="7" t="s">
        <v>736</v>
      </c>
      <c r="I132" s="7"/>
      <c r="J132" s="7" t="s">
        <v>415</v>
      </c>
      <c r="K132" s="7">
        <v>0.93557336621455</v>
      </c>
      <c r="L132" s="7" t="s">
        <v>72</v>
      </c>
      <c r="M132" s="16" t="s">
        <v>923</v>
      </c>
      <c r="N132" s="5"/>
      <c r="O132" s="5"/>
      <c r="P132" s="5"/>
      <c r="Q132" s="5"/>
      <c r="R132" s="5"/>
      <c r="S132" s="5"/>
      <c r="T132" s="5"/>
      <c r="U132" s="5"/>
      <c r="V132" s="5"/>
      <c r="W132" s="5"/>
      <c r="X132" s="5"/>
      <c r="Y132" s="5"/>
      <c r="Z132" s="5"/>
    </row>
    <row r="133" ht="15.75" customHeight="1">
      <c r="A133" s="7" t="s">
        <v>78</v>
      </c>
      <c r="B133" s="7" t="s">
        <v>924</v>
      </c>
      <c r="C133" s="7" t="s">
        <v>925</v>
      </c>
      <c r="D133" s="7" t="s">
        <v>919</v>
      </c>
      <c r="E133" s="7" t="s">
        <v>152</v>
      </c>
      <c r="F133" s="7" t="s">
        <v>145</v>
      </c>
      <c r="G133" s="7" t="s">
        <v>156</v>
      </c>
      <c r="H133" s="7" t="s">
        <v>736</v>
      </c>
      <c r="I133" s="7"/>
      <c r="J133" s="7" t="s">
        <v>415</v>
      </c>
      <c r="K133" s="7">
        <v>0.946480231436837</v>
      </c>
      <c r="L133" s="7" t="s">
        <v>72</v>
      </c>
      <c r="M133" s="16" t="s">
        <v>923</v>
      </c>
      <c r="N133" s="5"/>
      <c r="O133" s="5"/>
      <c r="P133" s="5"/>
      <c r="Q133" s="5"/>
      <c r="R133" s="5"/>
      <c r="S133" s="5"/>
      <c r="T133" s="5"/>
      <c r="U133" s="5"/>
      <c r="V133" s="5"/>
      <c r="W133" s="5"/>
      <c r="X133" s="5"/>
      <c r="Y133" s="5"/>
      <c r="Z133" s="5"/>
    </row>
    <row r="134" ht="15.75" customHeight="1">
      <c r="A134" s="7" t="s">
        <v>78</v>
      </c>
      <c r="B134" s="7" t="s">
        <v>926</v>
      </c>
      <c r="C134" s="7" t="s">
        <v>927</v>
      </c>
      <c r="D134" s="7" t="s">
        <v>928</v>
      </c>
      <c r="E134" s="7" t="s">
        <v>89</v>
      </c>
      <c r="F134" s="7" t="s">
        <v>145</v>
      </c>
      <c r="G134" s="7" t="s">
        <v>94</v>
      </c>
      <c r="H134" s="7"/>
      <c r="I134" s="7"/>
      <c r="J134" s="7" t="s">
        <v>155</v>
      </c>
      <c r="K134" s="7" t="s">
        <v>135</v>
      </c>
      <c r="L134" s="7" t="s">
        <v>135</v>
      </c>
      <c r="M134" s="16" t="s">
        <v>928</v>
      </c>
      <c r="N134" s="5"/>
      <c r="O134" s="5"/>
      <c r="P134" s="5"/>
      <c r="Q134" s="5"/>
      <c r="R134" s="5"/>
      <c r="S134" s="5"/>
      <c r="T134" s="5"/>
      <c r="U134" s="5"/>
      <c r="V134" s="5"/>
      <c r="W134" s="5"/>
      <c r="X134" s="5"/>
      <c r="Y134" s="5"/>
      <c r="Z134" s="5"/>
    </row>
    <row r="135" ht="15.75" customHeight="1">
      <c r="A135" s="7" t="s">
        <v>78</v>
      </c>
      <c r="B135" s="7" t="s">
        <v>931</v>
      </c>
      <c r="C135" s="7" t="s">
        <v>932</v>
      </c>
      <c r="D135" s="7" t="s">
        <v>933</v>
      </c>
      <c r="E135" s="7" t="s">
        <v>89</v>
      </c>
      <c r="F135" s="7" t="s">
        <v>145</v>
      </c>
      <c r="G135" s="7" t="s">
        <v>156</v>
      </c>
      <c r="H135" s="7" t="s">
        <v>593</v>
      </c>
      <c r="I135" s="7"/>
      <c r="J135" s="7" t="s">
        <v>155</v>
      </c>
      <c r="K135" s="7">
        <v>0.498292405269149</v>
      </c>
      <c r="L135" s="7" t="s">
        <v>88</v>
      </c>
      <c r="M135" s="16" t="s">
        <v>934</v>
      </c>
      <c r="N135" s="5"/>
      <c r="O135" s="5"/>
      <c r="P135" s="5"/>
      <c r="Q135" s="5"/>
      <c r="R135" s="5"/>
      <c r="S135" s="5"/>
      <c r="T135" s="5"/>
      <c r="U135" s="5"/>
      <c r="V135" s="5"/>
      <c r="W135" s="5"/>
      <c r="X135" s="5"/>
      <c r="Y135" s="5"/>
      <c r="Z135" s="5"/>
    </row>
    <row r="136" ht="15.75" customHeight="1">
      <c r="A136" s="7" t="s">
        <v>78</v>
      </c>
      <c r="B136" s="7" t="s">
        <v>935</v>
      </c>
      <c r="C136" s="7" t="s">
        <v>936</v>
      </c>
      <c r="D136" s="7" t="s">
        <v>938</v>
      </c>
      <c r="E136" s="7" t="s">
        <v>89</v>
      </c>
      <c r="F136" s="7" t="s">
        <v>145</v>
      </c>
      <c r="G136" s="7" t="s">
        <v>669</v>
      </c>
      <c r="H136" s="7"/>
      <c r="I136" s="7"/>
      <c r="J136" s="7" t="s">
        <v>155</v>
      </c>
      <c r="K136" s="7" t="s">
        <v>135</v>
      </c>
      <c r="L136" s="7" t="s">
        <v>135</v>
      </c>
      <c r="M136" s="16" t="s">
        <v>938</v>
      </c>
      <c r="N136" s="5"/>
      <c r="O136" s="5"/>
      <c r="P136" s="5"/>
      <c r="Q136" s="5"/>
      <c r="R136" s="5"/>
      <c r="S136" s="5"/>
      <c r="T136" s="5"/>
      <c r="U136" s="5"/>
      <c r="V136" s="5"/>
      <c r="W136" s="5"/>
      <c r="X136" s="5"/>
      <c r="Y136" s="5"/>
      <c r="Z136" s="5"/>
    </row>
    <row r="137" ht="15.75" customHeight="1">
      <c r="A137" s="7" t="s">
        <v>78</v>
      </c>
      <c r="B137" s="7" t="s">
        <v>941</v>
      </c>
      <c r="C137" s="7" t="s">
        <v>942</v>
      </c>
      <c r="D137" s="7" t="s">
        <v>941</v>
      </c>
      <c r="E137" s="7" t="s">
        <v>89</v>
      </c>
      <c r="F137" s="7" t="s">
        <v>145</v>
      </c>
      <c r="G137" s="7" t="s">
        <v>93</v>
      </c>
      <c r="H137" s="7" t="s">
        <v>118</v>
      </c>
      <c r="I137" s="7"/>
      <c r="J137" s="7" t="s">
        <v>155</v>
      </c>
      <c r="K137" s="7">
        <v>0.455991943605237</v>
      </c>
      <c r="L137" s="7" t="s">
        <v>88</v>
      </c>
      <c r="M137" s="16" t="s">
        <v>943</v>
      </c>
      <c r="N137" s="5"/>
      <c r="O137" s="5"/>
      <c r="P137" s="5"/>
      <c r="Q137" s="5"/>
      <c r="R137" s="5"/>
      <c r="S137" s="5"/>
      <c r="T137" s="5"/>
      <c r="U137" s="5"/>
      <c r="V137" s="5"/>
      <c r="W137" s="5"/>
      <c r="X137" s="5"/>
      <c r="Y137" s="5"/>
      <c r="Z137" s="5"/>
    </row>
    <row r="138" ht="15.75" customHeight="1">
      <c r="A138" s="7" t="s">
        <v>78</v>
      </c>
      <c r="B138" s="7" t="s">
        <v>944</v>
      </c>
      <c r="C138" s="7" t="s">
        <v>945</v>
      </c>
      <c r="D138" s="7" t="s">
        <v>946</v>
      </c>
      <c r="E138" s="7" t="s">
        <v>89</v>
      </c>
      <c r="F138" s="7" t="s">
        <v>145</v>
      </c>
      <c r="G138" s="7" t="s">
        <v>93</v>
      </c>
      <c r="H138" s="7" t="s">
        <v>118</v>
      </c>
      <c r="I138" s="7" t="s">
        <v>627</v>
      </c>
      <c r="J138" s="7" t="s">
        <v>155</v>
      </c>
      <c r="K138" s="7" t="s">
        <v>135</v>
      </c>
      <c r="L138" s="7" t="s">
        <v>135</v>
      </c>
      <c r="M138" s="16" t="s">
        <v>946</v>
      </c>
      <c r="N138" s="5"/>
      <c r="O138" s="5"/>
      <c r="P138" s="5"/>
      <c r="Q138" s="5"/>
      <c r="R138" s="5"/>
      <c r="S138" s="5"/>
      <c r="T138" s="5"/>
      <c r="U138" s="5"/>
      <c r="V138" s="5"/>
      <c r="W138" s="5"/>
      <c r="X138" s="5"/>
      <c r="Y138" s="5"/>
      <c r="Z138" s="5"/>
    </row>
    <row r="139" ht="15.75" customHeight="1">
      <c r="A139" s="7" t="s">
        <v>78</v>
      </c>
      <c r="B139" s="7" t="s">
        <v>949</v>
      </c>
      <c r="C139" s="7" t="s">
        <v>951</v>
      </c>
      <c r="D139" s="7" t="s">
        <v>953</v>
      </c>
      <c r="E139" s="7" t="s">
        <v>152</v>
      </c>
      <c r="F139" s="7" t="s">
        <v>128</v>
      </c>
      <c r="G139" s="7" t="s">
        <v>156</v>
      </c>
      <c r="H139" s="7" t="s">
        <v>736</v>
      </c>
      <c r="I139" s="7"/>
      <c r="J139" s="7" t="s">
        <v>415</v>
      </c>
      <c r="K139" s="7">
        <v>0.203758654797231</v>
      </c>
      <c r="L139" s="7" t="s">
        <v>88</v>
      </c>
      <c r="M139" s="16" t="s">
        <v>953</v>
      </c>
      <c r="N139" s="5"/>
      <c r="O139" s="5"/>
      <c r="P139" s="5"/>
      <c r="Q139" s="5"/>
      <c r="R139" s="5"/>
      <c r="S139" s="5"/>
      <c r="T139" s="5"/>
      <c r="U139" s="5"/>
      <c r="V139" s="5"/>
      <c r="W139" s="5"/>
      <c r="X139" s="5"/>
      <c r="Y139" s="5"/>
      <c r="Z139" s="5"/>
    </row>
    <row r="140" ht="15.75" customHeight="1">
      <c r="A140" s="7" t="s">
        <v>78</v>
      </c>
      <c r="B140" s="7" t="s">
        <v>955</v>
      </c>
      <c r="C140" s="7" t="s">
        <v>956</v>
      </c>
      <c r="D140" s="7" t="s">
        <v>953</v>
      </c>
      <c r="E140" s="7" t="s">
        <v>127</v>
      </c>
      <c r="F140" s="7" t="s">
        <v>145</v>
      </c>
      <c r="G140" s="7" t="s">
        <v>94</v>
      </c>
      <c r="H140" s="7"/>
      <c r="I140" s="7"/>
      <c r="J140" s="7" t="s">
        <v>134</v>
      </c>
      <c r="K140" s="7" t="s">
        <v>135</v>
      </c>
      <c r="L140" s="7" t="s">
        <v>88</v>
      </c>
      <c r="M140" s="16" t="s">
        <v>953</v>
      </c>
      <c r="N140" s="5"/>
      <c r="O140" s="5"/>
      <c r="P140" s="5"/>
      <c r="Q140" s="5"/>
      <c r="R140" s="5"/>
      <c r="S140" s="5"/>
      <c r="T140" s="5"/>
      <c r="U140" s="5"/>
      <c r="V140" s="5"/>
      <c r="W140" s="5"/>
      <c r="X140" s="5"/>
      <c r="Y140" s="5"/>
      <c r="Z140" s="5"/>
    </row>
    <row r="141" ht="15.75" customHeight="1">
      <c r="A141" s="7" t="s">
        <v>78</v>
      </c>
      <c r="B141" s="7" t="s">
        <v>961</v>
      </c>
      <c r="C141" s="7" t="s">
        <v>962</v>
      </c>
      <c r="D141" s="7" t="s">
        <v>963</v>
      </c>
      <c r="E141" s="7" t="s">
        <v>89</v>
      </c>
      <c r="F141" s="7" t="s">
        <v>91</v>
      </c>
      <c r="G141" s="7" t="s">
        <v>669</v>
      </c>
      <c r="H141" s="7"/>
      <c r="I141" s="7"/>
      <c r="J141" s="7" t="s">
        <v>134</v>
      </c>
      <c r="K141" s="7" t="s">
        <v>135</v>
      </c>
      <c r="L141" s="7" t="s">
        <v>88</v>
      </c>
      <c r="M141" s="16" t="s">
        <v>963</v>
      </c>
      <c r="N141" s="5"/>
      <c r="O141" s="5"/>
      <c r="P141" s="5"/>
      <c r="Q141" s="5"/>
      <c r="R141" s="5"/>
      <c r="S141" s="5"/>
      <c r="T141" s="5"/>
      <c r="U141" s="5"/>
      <c r="V141" s="5"/>
      <c r="W141" s="5"/>
      <c r="X141" s="5"/>
      <c r="Y141" s="5"/>
      <c r="Z141" s="5"/>
    </row>
    <row r="142" ht="15.75" customHeight="1">
      <c r="A142" s="7" t="s">
        <v>78</v>
      </c>
      <c r="B142" s="7" t="s">
        <v>964</v>
      </c>
      <c r="C142" s="7" t="s">
        <v>965</v>
      </c>
      <c r="D142" s="7" t="s">
        <v>963</v>
      </c>
      <c r="E142" s="7" t="s">
        <v>152</v>
      </c>
      <c r="F142" s="7" t="s">
        <v>91</v>
      </c>
      <c r="G142" s="7" t="s">
        <v>534</v>
      </c>
      <c r="H142" s="7" t="s">
        <v>593</v>
      </c>
      <c r="I142" s="7"/>
      <c r="J142" s="7" t="s">
        <v>415</v>
      </c>
      <c r="K142" s="7">
        <v>0.12399012567325</v>
      </c>
      <c r="L142" s="7" t="s">
        <v>88</v>
      </c>
      <c r="M142" s="16" t="s">
        <v>963</v>
      </c>
      <c r="N142" s="5"/>
      <c r="O142" s="5"/>
      <c r="P142" s="5"/>
      <c r="Q142" s="5"/>
      <c r="R142" s="5"/>
      <c r="S142" s="5"/>
      <c r="T142" s="5"/>
      <c r="U142" s="5"/>
      <c r="V142" s="5"/>
      <c r="W142" s="5"/>
      <c r="X142" s="5"/>
      <c r="Y142" s="5"/>
      <c r="Z142" s="5"/>
    </row>
    <row r="143" ht="15.75" customHeight="1">
      <c r="A143" s="7" t="s">
        <v>78</v>
      </c>
      <c r="B143" s="7" t="s">
        <v>968</v>
      </c>
      <c r="C143" s="7" t="s">
        <v>970</v>
      </c>
      <c r="D143" s="7" t="s">
        <v>971</v>
      </c>
      <c r="E143" s="7" t="s">
        <v>152</v>
      </c>
      <c r="F143" s="7" t="s">
        <v>145</v>
      </c>
      <c r="G143" s="7" t="s">
        <v>534</v>
      </c>
      <c r="H143" s="7" t="s">
        <v>593</v>
      </c>
      <c r="I143" s="7"/>
      <c r="J143" s="7" t="s">
        <v>134</v>
      </c>
      <c r="K143" s="7">
        <v>0.260123966942149</v>
      </c>
      <c r="L143" s="7" t="s">
        <v>135</v>
      </c>
      <c r="M143" s="16" t="s">
        <v>972</v>
      </c>
      <c r="N143" s="5"/>
      <c r="O143" s="5"/>
      <c r="P143" s="5"/>
      <c r="Q143" s="5"/>
      <c r="R143" s="5"/>
      <c r="S143" s="5"/>
      <c r="T143" s="5"/>
      <c r="U143" s="5"/>
      <c r="V143" s="5"/>
      <c r="W143" s="5"/>
      <c r="X143" s="5"/>
      <c r="Y143" s="5"/>
      <c r="Z143" s="5"/>
    </row>
    <row r="144" ht="15.75" customHeight="1">
      <c r="A144" s="7" t="s">
        <v>78</v>
      </c>
      <c r="B144" s="7" t="s">
        <v>973</v>
      </c>
      <c r="C144" s="7" t="s">
        <v>975</v>
      </c>
      <c r="D144" s="7" t="s">
        <v>971</v>
      </c>
      <c r="E144" s="7" t="s">
        <v>152</v>
      </c>
      <c r="F144" s="7" t="s">
        <v>91</v>
      </c>
      <c r="G144" s="7" t="s">
        <v>534</v>
      </c>
      <c r="H144" s="7" t="s">
        <v>593</v>
      </c>
      <c r="I144" s="7"/>
      <c r="J144" s="7" t="s">
        <v>415</v>
      </c>
      <c r="K144" s="7">
        <v>0.0</v>
      </c>
      <c r="L144" s="7" t="s">
        <v>72</v>
      </c>
      <c r="M144" s="16" t="s">
        <v>972</v>
      </c>
      <c r="N144" s="5"/>
      <c r="O144" s="5"/>
      <c r="P144" s="5"/>
      <c r="Q144" s="5"/>
      <c r="R144" s="5"/>
      <c r="S144" s="5"/>
      <c r="T144" s="5"/>
      <c r="U144" s="5"/>
      <c r="V144" s="5"/>
      <c r="W144" s="5"/>
      <c r="X144" s="5"/>
      <c r="Y144" s="5"/>
      <c r="Z144" s="5"/>
    </row>
    <row r="145" ht="15.75" customHeight="1">
      <c r="A145" s="7" t="s">
        <v>78</v>
      </c>
      <c r="B145" s="7" t="s">
        <v>979</v>
      </c>
      <c r="C145" s="7" t="s">
        <v>980</v>
      </c>
      <c r="D145" s="7" t="s">
        <v>981</v>
      </c>
      <c r="E145" s="7" t="s">
        <v>89</v>
      </c>
      <c r="F145" s="7" t="s">
        <v>145</v>
      </c>
      <c r="G145" s="7" t="s">
        <v>94</v>
      </c>
      <c r="H145" s="7"/>
      <c r="I145" s="7"/>
      <c r="J145" s="7" t="s">
        <v>134</v>
      </c>
      <c r="K145" s="7" t="s">
        <v>135</v>
      </c>
      <c r="L145" s="7" t="s">
        <v>88</v>
      </c>
      <c r="M145" s="16" t="s">
        <v>982</v>
      </c>
      <c r="N145" s="5"/>
      <c r="O145" s="5"/>
      <c r="P145" s="5"/>
      <c r="Q145" s="5"/>
      <c r="R145" s="5"/>
      <c r="S145" s="5"/>
      <c r="T145" s="5"/>
      <c r="U145" s="5"/>
      <c r="V145" s="5"/>
      <c r="W145" s="5"/>
      <c r="X145" s="5"/>
      <c r="Y145" s="5"/>
      <c r="Z145" s="5"/>
    </row>
    <row r="146" ht="15.75" customHeight="1">
      <c r="A146" s="7" t="s">
        <v>78</v>
      </c>
      <c r="B146" s="7" t="s">
        <v>984</v>
      </c>
      <c r="C146" s="7" t="s">
        <v>985</v>
      </c>
      <c r="D146" s="7" t="s">
        <v>981</v>
      </c>
      <c r="E146" s="7" t="s">
        <v>89</v>
      </c>
      <c r="F146" s="7" t="s">
        <v>145</v>
      </c>
      <c r="G146" s="7" t="s">
        <v>156</v>
      </c>
      <c r="H146" s="7" t="s">
        <v>118</v>
      </c>
      <c r="I146" s="7"/>
      <c r="J146" s="7" t="s">
        <v>415</v>
      </c>
      <c r="K146" s="7">
        <v>0.247879199185613</v>
      </c>
      <c r="L146" s="7" t="s">
        <v>88</v>
      </c>
      <c r="M146" s="16" t="s">
        <v>982</v>
      </c>
      <c r="N146" s="5"/>
      <c r="O146" s="5"/>
      <c r="P146" s="5"/>
      <c r="Q146" s="5"/>
      <c r="R146" s="5"/>
      <c r="S146" s="5"/>
      <c r="T146" s="5"/>
      <c r="U146" s="5"/>
      <c r="V146" s="5"/>
      <c r="W146" s="5"/>
      <c r="X146" s="5"/>
      <c r="Y146" s="5"/>
      <c r="Z146" s="5"/>
    </row>
    <row r="147" ht="15.75" customHeight="1">
      <c r="A147" s="7" t="s">
        <v>78</v>
      </c>
      <c r="B147" s="7" t="s">
        <v>988</v>
      </c>
      <c r="C147" s="7" t="s">
        <v>989</v>
      </c>
      <c r="D147" s="7" t="s">
        <v>988</v>
      </c>
      <c r="E147" s="7" t="s">
        <v>152</v>
      </c>
      <c r="F147" s="7" t="s">
        <v>128</v>
      </c>
      <c r="G147" s="7" t="s">
        <v>94</v>
      </c>
      <c r="H147" s="7"/>
      <c r="I147" s="7"/>
      <c r="J147" s="7" t="s">
        <v>415</v>
      </c>
      <c r="K147" s="7" t="s">
        <v>135</v>
      </c>
      <c r="L147" s="7" t="s">
        <v>88</v>
      </c>
      <c r="M147" s="16" t="s">
        <v>991</v>
      </c>
      <c r="N147" s="5"/>
      <c r="O147" s="5"/>
      <c r="P147" s="5"/>
      <c r="Q147" s="5"/>
      <c r="R147" s="5"/>
      <c r="S147" s="5"/>
      <c r="T147" s="5"/>
      <c r="U147" s="5"/>
      <c r="V147" s="5"/>
      <c r="W147" s="5"/>
      <c r="X147" s="5"/>
      <c r="Y147" s="5"/>
      <c r="Z147" s="5"/>
    </row>
    <row r="148" ht="15.75" customHeight="1">
      <c r="A148" s="7" t="s">
        <v>78</v>
      </c>
      <c r="B148" s="7" t="s">
        <v>992</v>
      </c>
      <c r="C148" s="7" t="s">
        <v>993</v>
      </c>
      <c r="D148" s="7" t="s">
        <v>996</v>
      </c>
      <c r="E148" s="7" t="s">
        <v>152</v>
      </c>
      <c r="F148" s="7" t="s">
        <v>128</v>
      </c>
      <c r="G148" s="7" t="s">
        <v>94</v>
      </c>
      <c r="H148" s="7"/>
      <c r="I148" s="7"/>
      <c r="J148" s="7" t="s">
        <v>415</v>
      </c>
      <c r="K148" s="7" t="s">
        <v>135</v>
      </c>
      <c r="L148" s="7" t="s">
        <v>88</v>
      </c>
      <c r="M148" s="16" t="s">
        <v>996</v>
      </c>
      <c r="N148" s="5"/>
      <c r="O148" s="5"/>
      <c r="P148" s="5"/>
      <c r="Q148" s="5"/>
      <c r="R148" s="5"/>
      <c r="S148" s="5"/>
      <c r="T148" s="5"/>
      <c r="U148" s="5"/>
      <c r="V148" s="5"/>
      <c r="W148" s="5"/>
      <c r="X148" s="5"/>
      <c r="Y148" s="5"/>
      <c r="Z148" s="5"/>
    </row>
    <row r="149" ht="15.75" customHeight="1">
      <c r="A149" s="7" t="s">
        <v>78</v>
      </c>
      <c r="B149" s="7" t="s">
        <v>999</v>
      </c>
      <c r="C149" s="7" t="s">
        <v>1000</v>
      </c>
      <c r="D149" s="7" t="s">
        <v>1001</v>
      </c>
      <c r="E149" s="7" t="s">
        <v>89</v>
      </c>
      <c r="F149" s="7" t="s">
        <v>92</v>
      </c>
      <c r="G149" s="7" t="s">
        <v>248</v>
      </c>
      <c r="H149" s="7" t="s">
        <v>593</v>
      </c>
      <c r="I149" s="7" t="s">
        <v>1002</v>
      </c>
      <c r="J149" s="7" t="s">
        <v>415</v>
      </c>
      <c r="K149" s="7">
        <v>0.448719550281074</v>
      </c>
      <c r="L149" s="7" t="s">
        <v>88</v>
      </c>
      <c r="M149" s="16" t="s">
        <v>1001</v>
      </c>
      <c r="N149" s="5"/>
      <c r="O149" s="5"/>
      <c r="P149" s="5"/>
      <c r="Q149" s="5"/>
      <c r="R149" s="5"/>
      <c r="S149" s="5"/>
      <c r="T149" s="5"/>
      <c r="U149" s="5"/>
      <c r="V149" s="5"/>
      <c r="W149" s="5"/>
      <c r="X149" s="5"/>
      <c r="Y149" s="5"/>
      <c r="Z149" s="5"/>
    </row>
    <row r="150" ht="15.75" customHeight="1">
      <c r="A150" s="7" t="s">
        <v>78</v>
      </c>
      <c r="B150" s="7" t="s">
        <v>1003</v>
      </c>
      <c r="C150" s="7" t="s">
        <v>1004</v>
      </c>
      <c r="D150" s="7" t="s">
        <v>1003</v>
      </c>
      <c r="E150" s="7" t="s">
        <v>152</v>
      </c>
      <c r="F150" s="7" t="s">
        <v>92</v>
      </c>
      <c r="G150" s="7" t="s">
        <v>94</v>
      </c>
      <c r="H150" s="7"/>
      <c r="I150" s="7"/>
      <c r="J150" s="7" t="s">
        <v>415</v>
      </c>
      <c r="K150" s="7" t="s">
        <v>135</v>
      </c>
      <c r="L150" s="7" t="s">
        <v>88</v>
      </c>
      <c r="M150" s="16" t="s">
        <v>1006</v>
      </c>
      <c r="N150" s="5"/>
      <c r="O150" s="5"/>
      <c r="P150" s="5"/>
      <c r="Q150" s="5"/>
      <c r="R150" s="5"/>
      <c r="S150" s="5"/>
      <c r="T150" s="5"/>
      <c r="U150" s="5"/>
      <c r="V150" s="5"/>
      <c r="W150" s="5"/>
      <c r="X150" s="5"/>
      <c r="Y150" s="5"/>
      <c r="Z150" s="5"/>
    </row>
    <row r="151" ht="15.75" customHeight="1">
      <c r="A151" s="7" t="s">
        <v>78</v>
      </c>
      <c r="B151" s="7" t="s">
        <v>1008</v>
      </c>
      <c r="C151" s="7" t="s">
        <v>1009</v>
      </c>
      <c r="D151" s="7" t="s">
        <v>1010</v>
      </c>
      <c r="E151" s="7" t="s">
        <v>152</v>
      </c>
      <c r="F151" s="7" t="s">
        <v>92</v>
      </c>
      <c r="G151" s="7" t="s">
        <v>156</v>
      </c>
      <c r="H151" s="7" t="s">
        <v>697</v>
      </c>
      <c r="I151" s="7"/>
      <c r="J151" s="7" t="s">
        <v>415</v>
      </c>
      <c r="K151" s="7">
        <v>0.277527151211362</v>
      </c>
      <c r="L151" s="7" t="s">
        <v>88</v>
      </c>
      <c r="M151" s="16" t="s">
        <v>1011</v>
      </c>
      <c r="N151" s="5"/>
      <c r="O151" s="5"/>
      <c r="P151" s="5"/>
      <c r="Q151" s="5"/>
      <c r="R151" s="5"/>
      <c r="S151" s="5"/>
      <c r="T151" s="5"/>
      <c r="U151" s="5"/>
      <c r="V151" s="5"/>
      <c r="W151" s="5"/>
      <c r="X151" s="5"/>
      <c r="Y151" s="5"/>
      <c r="Z151" s="5"/>
    </row>
    <row r="152" ht="15.75" customHeight="1">
      <c r="A152" s="7" t="s">
        <v>78</v>
      </c>
      <c r="B152" s="7" t="s">
        <v>1012</v>
      </c>
      <c r="C152" s="7" t="s">
        <v>1013</v>
      </c>
      <c r="D152" s="7" t="s">
        <v>1014</v>
      </c>
      <c r="E152" s="7" t="s">
        <v>89</v>
      </c>
      <c r="F152" s="7" t="s">
        <v>92</v>
      </c>
      <c r="G152" s="7" t="s">
        <v>94</v>
      </c>
      <c r="H152" s="7"/>
      <c r="I152" s="7"/>
      <c r="J152" s="7" t="s">
        <v>415</v>
      </c>
      <c r="K152" s="7" t="s">
        <v>135</v>
      </c>
      <c r="L152" s="7" t="s">
        <v>88</v>
      </c>
      <c r="M152" s="16" t="s">
        <v>1016</v>
      </c>
      <c r="N152" s="5"/>
      <c r="O152" s="5"/>
      <c r="P152" s="5"/>
      <c r="Q152" s="5"/>
      <c r="R152" s="5"/>
      <c r="S152" s="5"/>
      <c r="T152" s="5"/>
      <c r="U152" s="5"/>
      <c r="V152" s="5"/>
      <c r="W152" s="5"/>
      <c r="X152" s="5"/>
      <c r="Y152" s="5"/>
      <c r="Z152" s="5"/>
    </row>
    <row r="153" ht="15.75" customHeight="1">
      <c r="A153" s="7" t="s">
        <v>78</v>
      </c>
      <c r="B153" s="7" t="s">
        <v>1017</v>
      </c>
      <c r="C153" s="7" t="s">
        <v>1020</v>
      </c>
      <c r="D153" s="7" t="s">
        <v>1022</v>
      </c>
      <c r="E153" s="7" t="s">
        <v>89</v>
      </c>
      <c r="F153" s="7" t="s">
        <v>91</v>
      </c>
      <c r="G153" s="7" t="s">
        <v>94</v>
      </c>
      <c r="H153" s="7"/>
      <c r="I153" s="7"/>
      <c r="J153" s="7" t="s">
        <v>415</v>
      </c>
      <c r="K153" s="7" t="s">
        <v>135</v>
      </c>
      <c r="L153" s="7" t="s">
        <v>88</v>
      </c>
      <c r="M153" s="16" t="s">
        <v>1025</v>
      </c>
      <c r="N153" s="5"/>
      <c r="O153" s="5"/>
      <c r="P153" s="5"/>
      <c r="Q153" s="5"/>
      <c r="R153" s="5"/>
      <c r="S153" s="5"/>
      <c r="T153" s="5"/>
      <c r="U153" s="5"/>
      <c r="V153" s="5"/>
      <c r="W153" s="5"/>
      <c r="X153" s="5"/>
      <c r="Y153" s="5"/>
      <c r="Z153" s="5"/>
    </row>
    <row r="154" ht="15.75" customHeight="1">
      <c r="A154" s="7" t="s">
        <v>78</v>
      </c>
      <c r="B154" s="7" t="s">
        <v>1026</v>
      </c>
      <c r="C154" s="7" t="s">
        <v>1027</v>
      </c>
      <c r="D154" s="7" t="s">
        <v>1028</v>
      </c>
      <c r="E154" s="7" t="s">
        <v>152</v>
      </c>
      <c r="F154" s="7" t="s">
        <v>91</v>
      </c>
      <c r="G154" s="7" t="s">
        <v>94</v>
      </c>
      <c r="H154" s="7"/>
      <c r="I154" s="7"/>
      <c r="J154" s="7" t="s">
        <v>415</v>
      </c>
      <c r="K154" s="7" t="s">
        <v>135</v>
      </c>
      <c r="L154" s="7" t="s">
        <v>88</v>
      </c>
      <c r="M154" s="16" t="s">
        <v>1028</v>
      </c>
      <c r="N154" s="5"/>
      <c r="O154" s="5"/>
      <c r="P154" s="5"/>
      <c r="Q154" s="5"/>
      <c r="R154" s="5"/>
      <c r="S154" s="5"/>
      <c r="T154" s="5"/>
      <c r="U154" s="5"/>
      <c r="V154" s="5"/>
      <c r="W154" s="5"/>
      <c r="X154" s="5"/>
      <c r="Y154" s="5"/>
      <c r="Z154" s="5"/>
    </row>
    <row r="155" ht="15.75" customHeight="1">
      <c r="A155" s="7" t="s">
        <v>78</v>
      </c>
      <c r="B155" s="7" t="s">
        <v>1030</v>
      </c>
      <c r="C155" s="7" t="s">
        <v>1031</v>
      </c>
      <c r="D155" s="7" t="s">
        <v>1030</v>
      </c>
      <c r="E155" s="7" t="s">
        <v>152</v>
      </c>
      <c r="F155" s="7" t="s">
        <v>91</v>
      </c>
      <c r="G155" s="7" t="s">
        <v>156</v>
      </c>
      <c r="H155" s="7" t="s">
        <v>1032</v>
      </c>
      <c r="I155" s="7"/>
      <c r="J155" s="7" t="s">
        <v>415</v>
      </c>
      <c r="K155" s="7">
        <v>0.306554524361949</v>
      </c>
      <c r="L155" s="7" t="s">
        <v>88</v>
      </c>
      <c r="M155" s="16" t="s">
        <v>1034</v>
      </c>
      <c r="N155" s="5"/>
      <c r="O155" s="5"/>
      <c r="P155" s="5"/>
      <c r="Q155" s="5"/>
      <c r="R155" s="5"/>
      <c r="S155" s="5"/>
      <c r="T155" s="5"/>
      <c r="U155" s="5"/>
      <c r="V155" s="5"/>
      <c r="W155" s="5"/>
      <c r="X155" s="5"/>
      <c r="Y155" s="5"/>
      <c r="Z155" s="5"/>
    </row>
    <row r="156" ht="15.75" customHeight="1">
      <c r="A156" s="7" t="s">
        <v>78</v>
      </c>
      <c r="B156" s="7" t="s">
        <v>1035</v>
      </c>
      <c r="C156" s="7" t="s">
        <v>1036</v>
      </c>
      <c r="D156" s="7" t="s">
        <v>1037</v>
      </c>
      <c r="E156" s="7" t="s">
        <v>89</v>
      </c>
      <c r="F156" s="7" t="s">
        <v>91</v>
      </c>
      <c r="G156" s="7" t="s">
        <v>94</v>
      </c>
      <c r="H156" s="7"/>
      <c r="I156" s="7"/>
      <c r="J156" s="7" t="s">
        <v>415</v>
      </c>
      <c r="K156" s="7" t="s">
        <v>135</v>
      </c>
      <c r="L156" s="7" t="s">
        <v>88</v>
      </c>
      <c r="M156" s="16" t="s">
        <v>1037</v>
      </c>
      <c r="N156" s="5"/>
      <c r="O156" s="5"/>
      <c r="P156" s="5"/>
      <c r="Q156" s="5"/>
      <c r="R156" s="5"/>
      <c r="S156" s="5"/>
      <c r="T156" s="5"/>
      <c r="U156" s="5"/>
      <c r="V156" s="5"/>
      <c r="W156" s="5"/>
      <c r="X156" s="5"/>
      <c r="Y156" s="5"/>
      <c r="Z156" s="5"/>
    </row>
    <row r="157" ht="15.75" customHeight="1">
      <c r="A157" s="7" t="s">
        <v>78</v>
      </c>
      <c r="B157" s="7" t="s">
        <v>1041</v>
      </c>
      <c r="C157" s="7" t="s">
        <v>1043</v>
      </c>
      <c r="D157" s="7" t="s">
        <v>1044</v>
      </c>
      <c r="E157" s="7" t="s">
        <v>152</v>
      </c>
      <c r="F157" s="7" t="s">
        <v>145</v>
      </c>
      <c r="G157" s="7" t="s">
        <v>93</v>
      </c>
      <c r="H157" s="7" t="s">
        <v>742</v>
      </c>
      <c r="I157" s="7" t="s">
        <v>1045</v>
      </c>
      <c r="J157" s="7" t="s">
        <v>415</v>
      </c>
      <c r="K157" s="7" t="s">
        <v>135</v>
      </c>
      <c r="L157" s="7" t="s">
        <v>135</v>
      </c>
      <c r="M157" s="16" t="s">
        <v>1044</v>
      </c>
      <c r="N157" s="5"/>
      <c r="O157" s="5"/>
      <c r="P157" s="5"/>
      <c r="Q157" s="5"/>
      <c r="R157" s="5"/>
      <c r="S157" s="5"/>
      <c r="T157" s="5"/>
      <c r="U157" s="5"/>
      <c r="V157" s="5"/>
      <c r="W157" s="5"/>
      <c r="X157" s="5"/>
      <c r="Y157" s="5"/>
      <c r="Z157" s="5"/>
    </row>
    <row r="158" ht="15.75" customHeight="1">
      <c r="A158" s="7" t="s">
        <v>78</v>
      </c>
      <c r="B158" s="7" t="s">
        <v>1047</v>
      </c>
      <c r="C158" s="7" t="s">
        <v>1048</v>
      </c>
      <c r="D158" s="7" t="s">
        <v>1049</v>
      </c>
      <c r="E158" s="7" t="s">
        <v>152</v>
      </c>
      <c r="F158" s="7" t="s">
        <v>145</v>
      </c>
      <c r="G158" s="7" t="s">
        <v>156</v>
      </c>
      <c r="H158" s="7" t="s">
        <v>697</v>
      </c>
      <c r="I158" s="7"/>
      <c r="J158" s="7" t="s">
        <v>415</v>
      </c>
      <c r="K158" s="7" t="s">
        <v>135</v>
      </c>
      <c r="L158" s="7" t="s">
        <v>135</v>
      </c>
      <c r="M158" s="16" t="s">
        <v>1049</v>
      </c>
      <c r="N158" s="5"/>
      <c r="O158" s="5"/>
      <c r="P158" s="5"/>
      <c r="Q158" s="5"/>
      <c r="R158" s="5"/>
      <c r="S158" s="5"/>
      <c r="T158" s="5"/>
      <c r="U158" s="5"/>
      <c r="V158" s="5"/>
      <c r="W158" s="5"/>
      <c r="X158" s="5"/>
      <c r="Y158" s="5"/>
      <c r="Z158" s="5"/>
    </row>
    <row r="159" ht="15.75" customHeight="1">
      <c r="A159" s="7" t="s">
        <v>78</v>
      </c>
      <c r="B159" s="7" t="s">
        <v>1050</v>
      </c>
      <c r="C159" s="7" t="s">
        <v>1053</v>
      </c>
      <c r="D159" s="7" t="s">
        <v>1056</v>
      </c>
      <c r="E159" s="7" t="s">
        <v>152</v>
      </c>
      <c r="F159" s="7" t="s">
        <v>145</v>
      </c>
      <c r="G159" s="7" t="s">
        <v>94</v>
      </c>
      <c r="H159" s="7"/>
      <c r="I159" s="7"/>
      <c r="J159" s="7" t="s">
        <v>415</v>
      </c>
      <c r="K159" s="7" t="s">
        <v>135</v>
      </c>
      <c r="L159" s="7" t="s">
        <v>135</v>
      </c>
      <c r="M159" s="16" t="s">
        <v>1059</v>
      </c>
      <c r="N159" s="5"/>
      <c r="O159" s="5"/>
      <c r="P159" s="5"/>
      <c r="Q159" s="5"/>
      <c r="R159" s="5"/>
      <c r="S159" s="5"/>
      <c r="T159" s="5"/>
      <c r="U159" s="5"/>
      <c r="V159" s="5"/>
      <c r="W159" s="5"/>
      <c r="X159" s="5"/>
      <c r="Y159" s="5"/>
      <c r="Z159" s="5"/>
    </row>
    <row r="160" ht="15.75" customHeight="1">
      <c r="A160" s="7" t="s">
        <v>78</v>
      </c>
      <c r="B160" s="7" t="s">
        <v>1060</v>
      </c>
      <c r="C160" s="7" t="s">
        <v>1061</v>
      </c>
      <c r="D160" s="7" t="s">
        <v>1062</v>
      </c>
      <c r="E160" s="7" t="s">
        <v>127</v>
      </c>
      <c r="F160" s="7" t="s">
        <v>91</v>
      </c>
      <c r="G160" s="7" t="s">
        <v>130</v>
      </c>
      <c r="H160" s="7"/>
      <c r="I160" s="7"/>
      <c r="J160" s="7" t="s">
        <v>134</v>
      </c>
      <c r="K160" s="7">
        <v>0.0</v>
      </c>
      <c r="L160" s="7" t="s">
        <v>88</v>
      </c>
      <c r="M160" s="16" t="s">
        <v>1062</v>
      </c>
      <c r="N160" s="5"/>
      <c r="O160" s="5"/>
      <c r="P160" s="5"/>
      <c r="Q160" s="5"/>
      <c r="R160" s="5"/>
      <c r="S160" s="5"/>
      <c r="T160" s="5"/>
      <c r="U160" s="5"/>
      <c r="V160" s="5"/>
      <c r="W160" s="5"/>
      <c r="X160" s="5"/>
      <c r="Y160" s="5"/>
      <c r="Z160" s="5"/>
    </row>
    <row r="161" ht="15.75" customHeight="1">
      <c r="A161" s="7" t="s">
        <v>78</v>
      </c>
      <c r="B161" s="7" t="s">
        <v>1063</v>
      </c>
      <c r="C161" s="7" t="s">
        <v>1064</v>
      </c>
      <c r="D161" s="7" t="s">
        <v>1062</v>
      </c>
      <c r="E161" s="7" t="s">
        <v>152</v>
      </c>
      <c r="F161" s="7" t="s">
        <v>128</v>
      </c>
      <c r="G161" s="7" t="s">
        <v>156</v>
      </c>
      <c r="H161" s="7" t="s">
        <v>1065</v>
      </c>
      <c r="I161" s="7"/>
      <c r="J161" s="7" t="s">
        <v>134</v>
      </c>
      <c r="K161" s="7">
        <v>0.717033732924449</v>
      </c>
      <c r="L161" s="7" t="s">
        <v>88</v>
      </c>
      <c r="M161" s="16" t="s">
        <v>1062</v>
      </c>
      <c r="N161" s="5"/>
      <c r="O161" s="5"/>
      <c r="P161" s="5"/>
      <c r="Q161" s="5"/>
      <c r="R161" s="5"/>
      <c r="S161" s="5"/>
      <c r="T161" s="5"/>
      <c r="U161" s="5"/>
      <c r="V161" s="5"/>
      <c r="W161" s="5"/>
      <c r="X161" s="5"/>
      <c r="Y161" s="5"/>
      <c r="Z161" s="5"/>
    </row>
    <row r="162" ht="15.75" customHeight="1">
      <c r="A162" s="7" t="s">
        <v>78</v>
      </c>
      <c r="B162" s="7" t="s">
        <v>1067</v>
      </c>
      <c r="C162" s="7" t="s">
        <v>1068</v>
      </c>
      <c r="D162" s="7" t="s">
        <v>1069</v>
      </c>
      <c r="E162" s="7" t="s">
        <v>152</v>
      </c>
      <c r="F162" s="7" t="s">
        <v>91</v>
      </c>
      <c r="G162" s="7" t="s">
        <v>156</v>
      </c>
      <c r="H162" s="7" t="s">
        <v>736</v>
      </c>
      <c r="I162" s="7"/>
      <c r="J162" s="7" t="s">
        <v>134</v>
      </c>
      <c r="K162" s="7">
        <v>0.212813620071685</v>
      </c>
      <c r="L162" s="7" t="s">
        <v>88</v>
      </c>
      <c r="M162" s="16" t="s">
        <v>1069</v>
      </c>
      <c r="N162" s="5"/>
      <c r="O162" s="5"/>
      <c r="P162" s="5"/>
      <c r="Q162" s="5"/>
      <c r="R162" s="5"/>
      <c r="S162" s="5"/>
      <c r="T162" s="5"/>
      <c r="U162" s="5"/>
      <c r="V162" s="5"/>
      <c r="W162" s="5"/>
      <c r="X162" s="5"/>
      <c r="Y162" s="5"/>
      <c r="Z162" s="5"/>
    </row>
    <row r="163" ht="15.75" customHeight="1">
      <c r="A163" s="7" t="s">
        <v>78</v>
      </c>
      <c r="B163" s="7" t="s">
        <v>1071</v>
      </c>
      <c r="C163" s="7" t="s">
        <v>1072</v>
      </c>
      <c r="D163" s="7" t="s">
        <v>1069</v>
      </c>
      <c r="E163" s="7" t="s">
        <v>152</v>
      </c>
      <c r="F163" s="7" t="s">
        <v>145</v>
      </c>
      <c r="G163" s="7" t="s">
        <v>156</v>
      </c>
      <c r="H163" s="7" t="s">
        <v>736</v>
      </c>
      <c r="I163" s="7"/>
      <c r="J163" s="7" t="s">
        <v>134</v>
      </c>
      <c r="K163" s="7">
        <v>0.169117647058824</v>
      </c>
      <c r="L163" s="7" t="s">
        <v>88</v>
      </c>
      <c r="M163" s="16" t="s">
        <v>1069</v>
      </c>
      <c r="N163" s="5"/>
      <c r="O163" s="5"/>
      <c r="P163" s="5"/>
      <c r="Q163" s="5"/>
      <c r="R163" s="5"/>
      <c r="S163" s="5"/>
      <c r="T163" s="5"/>
      <c r="U163" s="5"/>
      <c r="V163" s="5"/>
      <c r="W163" s="5"/>
      <c r="X163" s="5"/>
      <c r="Y163" s="5"/>
      <c r="Z163" s="5"/>
    </row>
    <row r="164" ht="15.75" customHeight="1">
      <c r="A164" s="7" t="s">
        <v>78</v>
      </c>
      <c r="B164" s="7" t="s">
        <v>1073</v>
      </c>
      <c r="C164" s="7" t="s">
        <v>1074</v>
      </c>
      <c r="D164" s="7" t="s">
        <v>1075</v>
      </c>
      <c r="E164" s="7" t="s">
        <v>89</v>
      </c>
      <c r="F164" s="7" t="s">
        <v>91</v>
      </c>
      <c r="G164" s="7" t="s">
        <v>93</v>
      </c>
      <c r="H164" s="7" t="s">
        <v>742</v>
      </c>
      <c r="I164" s="7"/>
      <c r="J164" s="7" t="s">
        <v>134</v>
      </c>
      <c r="K164" s="7">
        <v>0.212435233160622</v>
      </c>
      <c r="L164" s="7" t="s">
        <v>88</v>
      </c>
      <c r="M164" s="16" t="s">
        <v>1077</v>
      </c>
      <c r="N164" s="5"/>
      <c r="O164" s="5"/>
      <c r="P164" s="5"/>
      <c r="Q164" s="5"/>
      <c r="R164" s="5"/>
      <c r="S164" s="5"/>
      <c r="T164" s="5"/>
      <c r="U164" s="5"/>
      <c r="V164" s="5"/>
      <c r="W164" s="5"/>
      <c r="X164" s="5"/>
      <c r="Y164" s="5"/>
      <c r="Z164" s="5"/>
    </row>
    <row r="165" ht="15.75" customHeight="1">
      <c r="A165" s="7" t="s">
        <v>78</v>
      </c>
      <c r="B165" s="7" t="s">
        <v>1082</v>
      </c>
      <c r="C165" s="7" t="s">
        <v>1083</v>
      </c>
      <c r="D165" s="7" t="s">
        <v>1075</v>
      </c>
      <c r="E165" s="7" t="s">
        <v>89</v>
      </c>
      <c r="F165" s="7" t="s">
        <v>145</v>
      </c>
      <c r="G165" s="7" t="s">
        <v>93</v>
      </c>
      <c r="H165" s="7" t="s">
        <v>742</v>
      </c>
      <c r="I165" s="7"/>
      <c r="J165" s="7" t="s">
        <v>134</v>
      </c>
      <c r="K165" s="7">
        <v>0.451612903225806</v>
      </c>
      <c r="L165" s="7" t="s">
        <v>88</v>
      </c>
      <c r="M165" s="16" t="s">
        <v>1077</v>
      </c>
      <c r="N165" s="5"/>
      <c r="O165" s="5"/>
      <c r="P165" s="5"/>
      <c r="Q165" s="5"/>
      <c r="R165" s="5"/>
      <c r="S165" s="5"/>
      <c r="T165" s="5"/>
      <c r="U165" s="5"/>
      <c r="V165" s="5"/>
      <c r="W165" s="5"/>
      <c r="X165" s="5"/>
      <c r="Y165" s="5"/>
      <c r="Z165" s="5"/>
    </row>
    <row r="166" ht="15.75" customHeight="1">
      <c r="A166" s="7" t="s">
        <v>78</v>
      </c>
      <c r="B166" s="7" t="s">
        <v>1084</v>
      </c>
      <c r="C166" s="7" t="s">
        <v>1085</v>
      </c>
      <c r="D166" s="7" t="s">
        <v>1086</v>
      </c>
      <c r="E166" s="7" t="s">
        <v>152</v>
      </c>
      <c r="F166" s="7" t="s">
        <v>145</v>
      </c>
      <c r="G166" s="7" t="s">
        <v>156</v>
      </c>
      <c r="H166" s="7" t="s">
        <v>697</v>
      </c>
      <c r="I166" s="7"/>
      <c r="J166" s="7" t="s">
        <v>134</v>
      </c>
      <c r="K166" s="7" t="s">
        <v>135</v>
      </c>
      <c r="L166" s="7" t="s">
        <v>135</v>
      </c>
      <c r="M166" s="16" t="s">
        <v>1087</v>
      </c>
      <c r="N166" s="5"/>
      <c r="O166" s="5"/>
      <c r="P166" s="5"/>
      <c r="Q166" s="5"/>
      <c r="R166" s="5"/>
      <c r="S166" s="5"/>
      <c r="T166" s="5"/>
      <c r="U166" s="5"/>
      <c r="V166" s="5"/>
      <c r="W166" s="5"/>
      <c r="X166" s="5"/>
      <c r="Y166" s="5"/>
      <c r="Z166" s="5"/>
    </row>
    <row r="167" ht="15.75" customHeight="1">
      <c r="A167" s="7" t="s">
        <v>78</v>
      </c>
      <c r="B167" s="7" t="s">
        <v>1088</v>
      </c>
      <c r="C167" s="7" t="s">
        <v>1089</v>
      </c>
      <c r="D167" s="7" t="s">
        <v>1086</v>
      </c>
      <c r="E167" s="7" t="s">
        <v>152</v>
      </c>
      <c r="F167" s="7" t="s">
        <v>145</v>
      </c>
      <c r="G167" s="7" t="s">
        <v>156</v>
      </c>
      <c r="H167" s="7" t="s">
        <v>697</v>
      </c>
      <c r="I167" s="7"/>
      <c r="J167" s="7" t="s">
        <v>134</v>
      </c>
      <c r="K167" s="7" t="s">
        <v>135</v>
      </c>
      <c r="L167" s="7" t="s">
        <v>135</v>
      </c>
      <c r="M167" s="16" t="s">
        <v>1087</v>
      </c>
      <c r="N167" s="5"/>
      <c r="O167" s="5"/>
      <c r="P167" s="5"/>
      <c r="Q167" s="5"/>
      <c r="R167" s="5"/>
      <c r="S167" s="5"/>
      <c r="T167" s="5"/>
      <c r="U167" s="5"/>
      <c r="V167" s="5"/>
      <c r="W167" s="5"/>
      <c r="X167" s="5"/>
      <c r="Y167" s="5"/>
      <c r="Z167" s="5"/>
    </row>
    <row r="168" ht="15.75" customHeight="1">
      <c r="A168" s="7" t="s">
        <v>78</v>
      </c>
      <c r="B168" s="7" t="s">
        <v>1091</v>
      </c>
      <c r="C168" s="7" t="s">
        <v>1092</v>
      </c>
      <c r="D168" s="7" t="s">
        <v>1093</v>
      </c>
      <c r="E168" s="7" t="s">
        <v>89</v>
      </c>
      <c r="F168" s="7" t="s">
        <v>145</v>
      </c>
      <c r="G168" s="7" t="s">
        <v>93</v>
      </c>
      <c r="H168" s="7" t="s">
        <v>593</v>
      </c>
      <c r="I168" s="7"/>
      <c r="J168" s="7" t="s">
        <v>134</v>
      </c>
      <c r="K168" s="7">
        <v>0.159736423540105</v>
      </c>
      <c r="L168" s="7" t="s">
        <v>135</v>
      </c>
      <c r="M168" s="16" t="s">
        <v>1093</v>
      </c>
      <c r="N168" s="5"/>
      <c r="O168" s="5"/>
      <c r="P168" s="5"/>
      <c r="Q168" s="5"/>
      <c r="R168" s="5"/>
      <c r="S168" s="5"/>
      <c r="T168" s="5"/>
      <c r="U168" s="5"/>
      <c r="V168" s="5"/>
      <c r="W168" s="5"/>
      <c r="X168" s="5"/>
      <c r="Y168" s="5"/>
      <c r="Z168" s="5"/>
    </row>
    <row r="169" ht="15.75" customHeight="1">
      <c r="A169" s="7" t="s">
        <v>78</v>
      </c>
      <c r="B169" s="7" t="s">
        <v>1094</v>
      </c>
      <c r="C169" s="7" t="s">
        <v>1095</v>
      </c>
      <c r="D169" s="7" t="s">
        <v>1093</v>
      </c>
      <c r="E169" s="7" t="s">
        <v>89</v>
      </c>
      <c r="F169" s="7" t="s">
        <v>145</v>
      </c>
      <c r="G169" s="7" t="s">
        <v>248</v>
      </c>
      <c r="H169" s="7" t="s">
        <v>593</v>
      </c>
      <c r="I169" s="7"/>
      <c r="J169" s="7" t="s">
        <v>134</v>
      </c>
      <c r="K169" s="7">
        <v>0.109326744904262</v>
      </c>
      <c r="L169" s="7" t="s">
        <v>88</v>
      </c>
      <c r="M169" s="16" t="s">
        <v>1093</v>
      </c>
      <c r="N169" s="5"/>
      <c r="O169" s="5"/>
      <c r="P169" s="5"/>
      <c r="Q169" s="5"/>
      <c r="R169" s="5"/>
      <c r="S169" s="5"/>
      <c r="T169" s="5"/>
      <c r="U169" s="5"/>
      <c r="V169" s="5"/>
      <c r="W169" s="5"/>
      <c r="X169" s="5"/>
      <c r="Y169" s="5"/>
      <c r="Z169" s="5"/>
    </row>
    <row r="170" ht="15.75" customHeight="1">
      <c r="A170" s="7" t="s">
        <v>78</v>
      </c>
      <c r="B170" s="7" t="s">
        <v>1099</v>
      </c>
      <c r="C170" s="7" t="s">
        <v>1100</v>
      </c>
      <c r="D170" s="7" t="s">
        <v>695</v>
      </c>
      <c r="E170" s="7" t="s">
        <v>89</v>
      </c>
      <c r="F170" s="7" t="s">
        <v>128</v>
      </c>
      <c r="G170" s="7" t="s">
        <v>156</v>
      </c>
      <c r="H170" s="7" t="s">
        <v>697</v>
      </c>
      <c r="I170" s="7" t="s">
        <v>696</v>
      </c>
      <c r="J170" s="7" t="s">
        <v>134</v>
      </c>
      <c r="K170" s="7">
        <v>0.135458167330677</v>
      </c>
      <c r="L170" s="7" t="s">
        <v>88</v>
      </c>
      <c r="M170" s="16" t="s">
        <v>695</v>
      </c>
      <c r="N170" s="5"/>
      <c r="O170" s="5"/>
      <c r="P170" s="5"/>
      <c r="Q170" s="5"/>
      <c r="R170" s="5"/>
      <c r="S170" s="5"/>
      <c r="T170" s="5"/>
      <c r="U170" s="5"/>
      <c r="V170" s="5"/>
      <c r="W170" s="5"/>
      <c r="X170" s="5"/>
      <c r="Y170" s="5"/>
      <c r="Z170" s="5"/>
    </row>
    <row r="171" ht="15.75" customHeight="1">
      <c r="A171" s="7" t="s">
        <v>78</v>
      </c>
      <c r="B171" s="7" t="s">
        <v>1101</v>
      </c>
      <c r="C171" s="7" t="s">
        <v>1102</v>
      </c>
      <c r="D171" s="7" t="s">
        <v>1103</v>
      </c>
      <c r="E171" s="7" t="s">
        <v>89</v>
      </c>
      <c r="F171" s="7" t="s">
        <v>128</v>
      </c>
      <c r="G171" s="7" t="s">
        <v>93</v>
      </c>
      <c r="H171" s="7" t="s">
        <v>742</v>
      </c>
      <c r="I171" s="7"/>
      <c r="J171" s="7" t="s">
        <v>134</v>
      </c>
      <c r="K171" s="7">
        <v>0.620222376650452</v>
      </c>
      <c r="L171" s="7" t="s">
        <v>88</v>
      </c>
      <c r="M171" s="16" t="s">
        <v>1104</v>
      </c>
      <c r="N171" s="5"/>
      <c r="O171" s="5"/>
      <c r="P171" s="5"/>
      <c r="Q171" s="5"/>
      <c r="R171" s="5"/>
      <c r="S171" s="5"/>
      <c r="T171" s="5"/>
      <c r="U171" s="5"/>
      <c r="V171" s="5"/>
      <c r="W171" s="5"/>
      <c r="X171" s="5"/>
      <c r="Y171" s="5"/>
      <c r="Z171" s="5"/>
    </row>
    <row r="172" ht="15.75" customHeight="1">
      <c r="A172" s="7" t="s">
        <v>78</v>
      </c>
      <c r="B172" s="7" t="s">
        <v>1106</v>
      </c>
      <c r="C172" s="7" t="s">
        <v>1107</v>
      </c>
      <c r="D172" s="7" t="s">
        <v>1108</v>
      </c>
      <c r="E172" s="7" t="s">
        <v>89</v>
      </c>
      <c r="F172" s="7" t="s">
        <v>128</v>
      </c>
      <c r="G172" s="7" t="s">
        <v>130</v>
      </c>
      <c r="H172" s="7"/>
      <c r="I172" s="7"/>
      <c r="J172" s="7" t="s">
        <v>134</v>
      </c>
      <c r="K172" s="7" t="s">
        <v>135</v>
      </c>
      <c r="L172" s="7" t="s">
        <v>88</v>
      </c>
      <c r="M172" s="16" t="s">
        <v>1108</v>
      </c>
      <c r="N172" s="5"/>
      <c r="O172" s="5"/>
      <c r="P172" s="5"/>
      <c r="Q172" s="5"/>
      <c r="R172" s="5"/>
      <c r="S172" s="5"/>
      <c r="T172" s="5"/>
      <c r="U172" s="5"/>
      <c r="V172" s="5"/>
      <c r="W172" s="5"/>
      <c r="X172" s="5"/>
      <c r="Y172" s="5"/>
      <c r="Z172" s="5"/>
    </row>
    <row r="173" ht="15.75" customHeight="1">
      <c r="A173" s="7" t="s">
        <v>78</v>
      </c>
      <c r="B173" s="7" t="s">
        <v>1109</v>
      </c>
      <c r="C173" s="7" t="s">
        <v>1111</v>
      </c>
      <c r="D173" s="7" t="s">
        <v>1109</v>
      </c>
      <c r="E173" s="7" t="s">
        <v>152</v>
      </c>
      <c r="F173" s="7" t="s">
        <v>92</v>
      </c>
      <c r="G173" s="7" t="s">
        <v>94</v>
      </c>
      <c r="H173" s="7"/>
      <c r="I173" s="7"/>
      <c r="J173" s="7" t="s">
        <v>134</v>
      </c>
      <c r="K173" s="7" t="s">
        <v>135</v>
      </c>
      <c r="L173" s="7" t="s">
        <v>88</v>
      </c>
      <c r="M173" s="16" t="s">
        <v>85</v>
      </c>
      <c r="N173" s="5"/>
      <c r="O173" s="5"/>
      <c r="P173" s="5"/>
      <c r="Q173" s="5"/>
      <c r="R173" s="5"/>
      <c r="S173" s="5"/>
      <c r="T173" s="5"/>
      <c r="U173" s="5"/>
      <c r="V173" s="5"/>
      <c r="W173" s="5"/>
      <c r="X173" s="5"/>
      <c r="Y173" s="5"/>
      <c r="Z173" s="5"/>
    </row>
    <row r="174" ht="15.75" customHeight="1">
      <c r="A174" s="7" t="s">
        <v>78</v>
      </c>
      <c r="B174" s="7" t="s">
        <v>1116</v>
      </c>
      <c r="C174" s="7" t="s">
        <v>1117</v>
      </c>
      <c r="D174" s="7" t="s">
        <v>1118</v>
      </c>
      <c r="E174" s="7" t="s">
        <v>152</v>
      </c>
      <c r="F174" s="7" t="s">
        <v>92</v>
      </c>
      <c r="G174" s="7" t="s">
        <v>94</v>
      </c>
      <c r="H174" s="7"/>
      <c r="I174" s="7"/>
      <c r="J174" s="7" t="s">
        <v>134</v>
      </c>
      <c r="K174" s="7" t="s">
        <v>135</v>
      </c>
      <c r="L174" s="7" t="s">
        <v>88</v>
      </c>
      <c r="M174" s="16" t="s">
        <v>1118</v>
      </c>
      <c r="N174" s="5"/>
      <c r="O174" s="5"/>
      <c r="P174" s="5"/>
      <c r="Q174" s="5"/>
      <c r="R174" s="5"/>
      <c r="S174" s="5"/>
      <c r="T174" s="5"/>
      <c r="U174" s="5"/>
      <c r="V174" s="5"/>
      <c r="W174" s="5"/>
      <c r="X174" s="5"/>
      <c r="Y174" s="5"/>
      <c r="Z174" s="5"/>
    </row>
    <row r="175" ht="15.75" customHeight="1">
      <c r="A175" s="7" t="s">
        <v>78</v>
      </c>
      <c r="B175" s="7" t="s">
        <v>1119</v>
      </c>
      <c r="C175" s="7" t="s">
        <v>1120</v>
      </c>
      <c r="D175" s="7" t="s">
        <v>1119</v>
      </c>
      <c r="E175" s="7" t="s">
        <v>152</v>
      </c>
      <c r="F175" s="7" t="s">
        <v>92</v>
      </c>
      <c r="G175" s="7" t="s">
        <v>248</v>
      </c>
      <c r="H175" s="7" t="s">
        <v>118</v>
      </c>
      <c r="I175" s="7"/>
      <c r="J175" s="7" t="s">
        <v>134</v>
      </c>
      <c r="K175" s="7" t="s">
        <v>135</v>
      </c>
      <c r="L175" s="7" t="s">
        <v>88</v>
      </c>
      <c r="M175" s="16" t="s">
        <v>634</v>
      </c>
      <c r="N175" s="5"/>
      <c r="O175" s="5"/>
      <c r="P175" s="5"/>
      <c r="Q175" s="5"/>
      <c r="R175" s="5"/>
      <c r="S175" s="5"/>
      <c r="T175" s="5"/>
      <c r="U175" s="5"/>
      <c r="V175" s="5"/>
      <c r="W175" s="5"/>
      <c r="X175" s="5"/>
      <c r="Y175" s="5"/>
      <c r="Z175" s="5"/>
    </row>
    <row r="176" ht="15.75" customHeight="1">
      <c r="A176" s="7" t="s">
        <v>78</v>
      </c>
      <c r="B176" s="7" t="s">
        <v>1121</v>
      </c>
      <c r="C176" s="7" t="s">
        <v>1122</v>
      </c>
      <c r="D176" s="7" t="s">
        <v>788</v>
      </c>
      <c r="E176" s="7" t="s">
        <v>152</v>
      </c>
      <c r="F176" s="7" t="s">
        <v>92</v>
      </c>
      <c r="G176" s="7" t="s">
        <v>156</v>
      </c>
      <c r="H176" s="7" t="s">
        <v>697</v>
      </c>
      <c r="I176" s="7"/>
      <c r="J176" s="7" t="s">
        <v>134</v>
      </c>
      <c r="K176" s="7">
        <v>0.339800734137389</v>
      </c>
      <c r="L176" s="7" t="s">
        <v>88</v>
      </c>
      <c r="M176" s="16" t="s">
        <v>788</v>
      </c>
      <c r="N176" s="5"/>
      <c r="O176" s="5"/>
      <c r="P176" s="5"/>
      <c r="Q176" s="5"/>
      <c r="R176" s="5"/>
      <c r="S176" s="5"/>
      <c r="T176" s="5"/>
      <c r="U176" s="5"/>
      <c r="V176" s="5"/>
      <c r="W176" s="5"/>
      <c r="X176" s="5"/>
      <c r="Y176" s="5"/>
      <c r="Z176" s="5"/>
    </row>
    <row r="177" ht="15.75" customHeight="1">
      <c r="A177" s="7" t="s">
        <v>78</v>
      </c>
      <c r="B177" s="7" t="s">
        <v>1125</v>
      </c>
      <c r="C177" s="7" t="s">
        <v>1126</v>
      </c>
      <c r="D177" s="7" t="s">
        <v>1127</v>
      </c>
      <c r="E177" s="7" t="s">
        <v>152</v>
      </c>
      <c r="F177" s="7" t="s">
        <v>92</v>
      </c>
      <c r="G177" s="7" t="s">
        <v>156</v>
      </c>
      <c r="H177" s="7" t="s">
        <v>855</v>
      </c>
      <c r="I177" s="7"/>
      <c r="J177" s="7" t="s">
        <v>134</v>
      </c>
      <c r="K177" s="7" t="s">
        <v>135</v>
      </c>
      <c r="L177" s="7" t="s">
        <v>135</v>
      </c>
      <c r="M177" s="16" t="s">
        <v>852</v>
      </c>
      <c r="N177" s="5"/>
      <c r="O177" s="5"/>
      <c r="P177" s="5"/>
      <c r="Q177" s="5"/>
      <c r="R177" s="5"/>
      <c r="S177" s="5"/>
      <c r="T177" s="5"/>
      <c r="U177" s="5"/>
      <c r="V177" s="5"/>
      <c r="W177" s="5"/>
      <c r="X177" s="5"/>
      <c r="Y177" s="5"/>
      <c r="Z177" s="5"/>
    </row>
    <row r="178" ht="15.75" customHeight="1">
      <c r="A178" s="7" t="s">
        <v>78</v>
      </c>
      <c r="B178" s="7" t="s">
        <v>1129</v>
      </c>
      <c r="C178" s="7" t="s">
        <v>1130</v>
      </c>
      <c r="D178" s="7" t="s">
        <v>1131</v>
      </c>
      <c r="E178" s="7" t="s">
        <v>152</v>
      </c>
      <c r="F178" s="7" t="s">
        <v>92</v>
      </c>
      <c r="G178" s="7" t="s">
        <v>156</v>
      </c>
      <c r="H178" s="7" t="s">
        <v>697</v>
      </c>
      <c r="I178" s="7"/>
      <c r="J178" s="7" t="s">
        <v>134</v>
      </c>
      <c r="K178" s="7" t="s">
        <v>135</v>
      </c>
      <c r="L178" s="7" t="s">
        <v>135</v>
      </c>
      <c r="M178" s="16" t="s">
        <v>1135</v>
      </c>
      <c r="N178" s="5"/>
      <c r="O178" s="5"/>
      <c r="P178" s="5"/>
      <c r="Q178" s="5"/>
      <c r="R178" s="5"/>
      <c r="S178" s="5"/>
      <c r="T178" s="5"/>
      <c r="U178" s="5"/>
      <c r="V178" s="5"/>
      <c r="W178" s="5"/>
      <c r="X178" s="5"/>
      <c r="Y178" s="5"/>
      <c r="Z178" s="5"/>
    </row>
    <row r="179" ht="15.75" customHeight="1">
      <c r="A179" s="7" t="s">
        <v>78</v>
      </c>
      <c r="B179" s="7" t="s">
        <v>1137</v>
      </c>
      <c r="C179" s="7" t="s">
        <v>1138</v>
      </c>
      <c r="D179" s="7" t="s">
        <v>1139</v>
      </c>
      <c r="E179" s="7" t="s">
        <v>152</v>
      </c>
      <c r="F179" s="7" t="s">
        <v>92</v>
      </c>
      <c r="G179" s="7" t="s">
        <v>94</v>
      </c>
      <c r="H179" s="7"/>
      <c r="I179" s="7"/>
      <c r="J179" s="7" t="s">
        <v>134</v>
      </c>
      <c r="K179" s="7" t="s">
        <v>135</v>
      </c>
      <c r="L179" s="7" t="s">
        <v>88</v>
      </c>
      <c r="M179" s="16" t="s">
        <v>1140</v>
      </c>
      <c r="N179" s="5"/>
      <c r="O179" s="5"/>
      <c r="P179" s="5"/>
      <c r="Q179" s="5"/>
      <c r="R179" s="5"/>
      <c r="S179" s="5"/>
      <c r="T179" s="5"/>
      <c r="U179" s="5"/>
      <c r="V179" s="5"/>
      <c r="W179" s="5"/>
      <c r="X179" s="5"/>
      <c r="Y179" s="5"/>
      <c r="Z179" s="5"/>
    </row>
    <row r="180" ht="15.75" customHeight="1">
      <c r="A180" s="7" t="s">
        <v>78</v>
      </c>
      <c r="B180" s="7" t="s">
        <v>1141</v>
      </c>
      <c r="C180" s="7" t="s">
        <v>1142</v>
      </c>
      <c r="D180" s="7" t="s">
        <v>1143</v>
      </c>
      <c r="E180" s="7" t="s">
        <v>89</v>
      </c>
      <c r="F180" s="7" t="s">
        <v>92</v>
      </c>
      <c r="G180" s="7" t="s">
        <v>156</v>
      </c>
      <c r="H180" s="7" t="s">
        <v>697</v>
      </c>
      <c r="I180" s="7"/>
      <c r="J180" s="7" t="s">
        <v>134</v>
      </c>
      <c r="K180" s="7">
        <v>0.641475211608222</v>
      </c>
      <c r="L180" s="7" t="s">
        <v>88</v>
      </c>
      <c r="M180" s="16" t="s">
        <v>1143</v>
      </c>
      <c r="N180" s="5"/>
      <c r="O180" s="5"/>
      <c r="P180" s="5"/>
      <c r="Q180" s="5"/>
      <c r="R180" s="5"/>
      <c r="S180" s="5"/>
      <c r="T180" s="5"/>
      <c r="U180" s="5"/>
      <c r="V180" s="5"/>
      <c r="W180" s="5"/>
      <c r="X180" s="5"/>
      <c r="Y180" s="5"/>
      <c r="Z180" s="5"/>
    </row>
    <row r="181" ht="15.75" customHeight="1">
      <c r="A181" s="7" t="s">
        <v>78</v>
      </c>
      <c r="B181" s="7" t="s">
        <v>1144</v>
      </c>
      <c r="C181" s="7" t="s">
        <v>1145</v>
      </c>
      <c r="D181" s="7" t="s">
        <v>1144</v>
      </c>
      <c r="E181" s="7" t="s">
        <v>152</v>
      </c>
      <c r="F181" s="7" t="s">
        <v>92</v>
      </c>
      <c r="G181" s="7" t="s">
        <v>94</v>
      </c>
      <c r="H181" s="7"/>
      <c r="I181" s="7"/>
      <c r="J181" s="7" t="s">
        <v>134</v>
      </c>
      <c r="K181" s="7" t="s">
        <v>135</v>
      </c>
      <c r="L181" s="7" t="s">
        <v>88</v>
      </c>
      <c r="M181" s="16" t="s">
        <v>1148</v>
      </c>
      <c r="N181" s="5"/>
      <c r="O181" s="5"/>
      <c r="P181" s="5"/>
      <c r="Q181" s="5"/>
      <c r="R181" s="5"/>
      <c r="S181" s="5"/>
      <c r="T181" s="5"/>
      <c r="U181" s="5"/>
      <c r="V181" s="5"/>
      <c r="W181" s="5"/>
      <c r="X181" s="5"/>
      <c r="Y181" s="5"/>
      <c r="Z181" s="5"/>
    </row>
    <row r="182" ht="15.75" customHeight="1">
      <c r="A182" s="7" t="s">
        <v>78</v>
      </c>
      <c r="B182" s="7" t="s">
        <v>1150</v>
      </c>
      <c r="C182" s="7" t="s">
        <v>1151</v>
      </c>
      <c r="D182" s="7" t="s">
        <v>1150</v>
      </c>
      <c r="E182" s="7" t="s">
        <v>152</v>
      </c>
      <c r="F182" s="7" t="s">
        <v>92</v>
      </c>
      <c r="G182" s="7" t="s">
        <v>94</v>
      </c>
      <c r="H182" s="7"/>
      <c r="I182" s="7"/>
      <c r="J182" s="7" t="s">
        <v>134</v>
      </c>
      <c r="K182" s="7" t="s">
        <v>135</v>
      </c>
      <c r="L182" s="7" t="s">
        <v>88</v>
      </c>
      <c r="M182" s="16" t="s">
        <v>1152</v>
      </c>
      <c r="N182" s="5"/>
      <c r="O182" s="5"/>
      <c r="P182" s="5"/>
      <c r="Q182" s="5"/>
      <c r="R182" s="5"/>
      <c r="S182" s="5"/>
      <c r="T182" s="5"/>
      <c r="U182" s="5"/>
      <c r="V182" s="5"/>
      <c r="W182" s="5"/>
      <c r="X182" s="5"/>
      <c r="Y182" s="5"/>
      <c r="Z182" s="5"/>
    </row>
    <row r="183" ht="15.75" customHeight="1">
      <c r="A183" s="7" t="s">
        <v>78</v>
      </c>
      <c r="B183" s="7" t="s">
        <v>1157</v>
      </c>
      <c r="C183" s="7" t="s">
        <v>1159</v>
      </c>
      <c r="D183" s="7" t="s">
        <v>1160</v>
      </c>
      <c r="E183" s="7" t="s">
        <v>89</v>
      </c>
      <c r="F183" s="7" t="s">
        <v>92</v>
      </c>
      <c r="G183" s="7" t="s">
        <v>94</v>
      </c>
      <c r="H183" s="7"/>
      <c r="I183" s="7"/>
      <c r="J183" s="7" t="s">
        <v>134</v>
      </c>
      <c r="K183" s="7" t="s">
        <v>135</v>
      </c>
      <c r="L183" s="7" t="s">
        <v>135</v>
      </c>
      <c r="M183" s="16" t="s">
        <v>1161</v>
      </c>
      <c r="N183" s="5"/>
      <c r="O183" s="5"/>
      <c r="P183" s="5"/>
      <c r="Q183" s="5"/>
      <c r="R183" s="5"/>
      <c r="S183" s="5"/>
      <c r="T183" s="5"/>
      <c r="U183" s="5"/>
      <c r="V183" s="5"/>
      <c r="W183" s="5"/>
      <c r="X183" s="5"/>
      <c r="Y183" s="5"/>
      <c r="Z183" s="5"/>
    </row>
    <row r="184" ht="15.75" customHeight="1">
      <c r="A184" s="7" t="s">
        <v>78</v>
      </c>
      <c r="B184" s="7" t="s">
        <v>1164</v>
      </c>
      <c r="C184" s="7" t="s">
        <v>1165</v>
      </c>
      <c r="D184" s="7" t="s">
        <v>1164</v>
      </c>
      <c r="E184" s="7" t="s">
        <v>89</v>
      </c>
      <c r="F184" s="7" t="s">
        <v>91</v>
      </c>
      <c r="G184" s="7" t="s">
        <v>156</v>
      </c>
      <c r="H184" s="7" t="s">
        <v>697</v>
      </c>
      <c r="I184" s="7"/>
      <c r="J184" s="7" t="s">
        <v>134</v>
      </c>
      <c r="K184" s="7" t="s">
        <v>135</v>
      </c>
      <c r="L184" s="7" t="s">
        <v>88</v>
      </c>
      <c r="M184" s="16" t="s">
        <v>1166</v>
      </c>
      <c r="N184" s="5"/>
      <c r="O184" s="5"/>
      <c r="P184" s="5"/>
      <c r="Q184" s="5"/>
      <c r="R184" s="5"/>
      <c r="S184" s="5"/>
      <c r="T184" s="5"/>
      <c r="U184" s="5"/>
      <c r="V184" s="5"/>
      <c r="W184" s="5"/>
      <c r="X184" s="5"/>
      <c r="Y184" s="5"/>
      <c r="Z184" s="5"/>
    </row>
    <row r="185" ht="15.75" customHeight="1">
      <c r="A185" s="7" t="s">
        <v>78</v>
      </c>
      <c r="B185" s="7" t="s">
        <v>1167</v>
      </c>
      <c r="C185" s="7" t="s">
        <v>1169</v>
      </c>
      <c r="D185" s="7" t="s">
        <v>1171</v>
      </c>
      <c r="E185" s="7" t="s">
        <v>152</v>
      </c>
      <c r="F185" s="7" t="s">
        <v>91</v>
      </c>
      <c r="G185" s="7" t="s">
        <v>156</v>
      </c>
      <c r="H185" s="7" t="s">
        <v>697</v>
      </c>
      <c r="I185" s="7"/>
      <c r="J185" s="7" t="s">
        <v>134</v>
      </c>
      <c r="K185" s="7">
        <v>0.0563876651982379</v>
      </c>
      <c r="L185" s="7" t="s">
        <v>88</v>
      </c>
      <c r="M185" s="16" t="s">
        <v>1171</v>
      </c>
      <c r="N185" s="5"/>
      <c r="O185" s="5"/>
      <c r="P185" s="5"/>
      <c r="Q185" s="5"/>
      <c r="R185" s="5"/>
      <c r="S185" s="5"/>
      <c r="T185" s="5"/>
      <c r="U185" s="5"/>
      <c r="V185" s="5"/>
      <c r="W185" s="5"/>
      <c r="X185" s="5"/>
      <c r="Y185" s="5"/>
      <c r="Z185" s="5"/>
    </row>
    <row r="186" ht="15.75" customHeight="1">
      <c r="A186" s="7" t="s">
        <v>78</v>
      </c>
      <c r="B186" s="7" t="s">
        <v>1174</v>
      </c>
      <c r="C186" s="7" t="s">
        <v>1175</v>
      </c>
      <c r="D186" s="7" t="s">
        <v>1176</v>
      </c>
      <c r="E186" s="7" t="s">
        <v>152</v>
      </c>
      <c r="F186" s="7" t="s">
        <v>91</v>
      </c>
      <c r="G186" s="7" t="s">
        <v>94</v>
      </c>
      <c r="H186" s="7"/>
      <c r="I186" s="7"/>
      <c r="J186" s="7" t="s">
        <v>134</v>
      </c>
      <c r="K186" s="7" t="s">
        <v>135</v>
      </c>
      <c r="L186" s="7" t="s">
        <v>88</v>
      </c>
      <c r="M186" s="16" t="s">
        <v>1176</v>
      </c>
      <c r="N186" s="5"/>
      <c r="O186" s="5"/>
      <c r="P186" s="5"/>
      <c r="Q186" s="5"/>
      <c r="R186" s="5"/>
      <c r="S186" s="5"/>
      <c r="T186" s="5"/>
      <c r="U186" s="5"/>
      <c r="V186" s="5"/>
      <c r="W186" s="5"/>
      <c r="X186" s="5"/>
      <c r="Y186" s="5"/>
      <c r="Z186" s="5"/>
    </row>
    <row r="187" ht="15.75" customHeight="1">
      <c r="A187" s="7" t="s">
        <v>78</v>
      </c>
      <c r="B187" s="7" t="s">
        <v>1178</v>
      </c>
      <c r="C187" s="7" t="s">
        <v>1179</v>
      </c>
      <c r="D187" s="7" t="s">
        <v>1178</v>
      </c>
      <c r="E187" s="7" t="s">
        <v>152</v>
      </c>
      <c r="F187" s="7" t="s">
        <v>91</v>
      </c>
      <c r="G187" s="7" t="s">
        <v>94</v>
      </c>
      <c r="H187" s="7"/>
      <c r="I187" s="7"/>
      <c r="J187" s="7" t="s">
        <v>134</v>
      </c>
      <c r="K187" s="7" t="s">
        <v>135</v>
      </c>
      <c r="L187" s="7" t="s">
        <v>88</v>
      </c>
      <c r="M187" s="16" t="s">
        <v>1181</v>
      </c>
      <c r="N187" s="5"/>
      <c r="O187" s="5"/>
      <c r="P187" s="5"/>
      <c r="Q187" s="5"/>
      <c r="R187" s="5"/>
      <c r="S187" s="5"/>
      <c r="T187" s="5"/>
      <c r="U187" s="5"/>
      <c r="V187" s="5"/>
      <c r="W187" s="5"/>
      <c r="X187" s="5"/>
      <c r="Y187" s="5"/>
      <c r="Z187" s="5"/>
    </row>
    <row r="188" ht="15.75" customHeight="1">
      <c r="A188" s="7" t="s">
        <v>78</v>
      </c>
      <c r="B188" s="7" t="s">
        <v>1183</v>
      </c>
      <c r="C188" s="7" t="s">
        <v>1184</v>
      </c>
      <c r="D188" s="7" t="s">
        <v>1185</v>
      </c>
      <c r="E188" s="7" t="s">
        <v>152</v>
      </c>
      <c r="F188" s="7" t="s">
        <v>91</v>
      </c>
      <c r="G188" s="7" t="s">
        <v>94</v>
      </c>
      <c r="H188" s="7"/>
      <c r="I188" s="7"/>
      <c r="J188" s="7" t="s">
        <v>134</v>
      </c>
      <c r="K188" s="7" t="s">
        <v>135</v>
      </c>
      <c r="L188" s="7" t="s">
        <v>135</v>
      </c>
      <c r="M188" s="16" t="s">
        <v>1187</v>
      </c>
      <c r="N188" s="5"/>
      <c r="O188" s="5"/>
      <c r="P188" s="5"/>
      <c r="Q188" s="5"/>
      <c r="R188" s="5"/>
      <c r="S188" s="5"/>
      <c r="T188" s="5"/>
      <c r="U188" s="5"/>
      <c r="V188" s="5"/>
      <c r="W188" s="5"/>
      <c r="X188" s="5"/>
      <c r="Y188" s="5"/>
      <c r="Z188" s="5"/>
    </row>
    <row r="189" ht="15.75" customHeight="1">
      <c r="A189" s="7" t="s">
        <v>78</v>
      </c>
      <c r="B189" s="7" t="s">
        <v>1192</v>
      </c>
      <c r="C189" s="7" t="s">
        <v>1193</v>
      </c>
      <c r="D189" s="7" t="s">
        <v>1194</v>
      </c>
      <c r="E189" s="7" t="s">
        <v>152</v>
      </c>
      <c r="F189" s="7" t="s">
        <v>91</v>
      </c>
      <c r="G189" s="7" t="s">
        <v>94</v>
      </c>
      <c r="H189" s="7"/>
      <c r="I189" s="7"/>
      <c r="J189" s="7" t="s">
        <v>134</v>
      </c>
      <c r="K189" s="7" t="s">
        <v>135</v>
      </c>
      <c r="L189" s="7" t="s">
        <v>88</v>
      </c>
      <c r="M189" s="16" t="s">
        <v>1194</v>
      </c>
      <c r="N189" s="5"/>
      <c r="O189" s="5"/>
      <c r="P189" s="5"/>
      <c r="Q189" s="5"/>
      <c r="R189" s="5"/>
      <c r="S189" s="5"/>
      <c r="T189" s="5"/>
      <c r="U189" s="5"/>
      <c r="V189" s="5"/>
      <c r="W189" s="5"/>
      <c r="X189" s="5"/>
      <c r="Y189" s="5"/>
      <c r="Z189" s="5"/>
    </row>
    <row r="190" ht="15.75" customHeight="1">
      <c r="A190" s="7" t="s">
        <v>78</v>
      </c>
      <c r="B190" s="7" t="s">
        <v>1195</v>
      </c>
      <c r="C190" s="7" t="s">
        <v>1196</v>
      </c>
      <c r="D190" s="7" t="s">
        <v>1197</v>
      </c>
      <c r="E190" s="7" t="s">
        <v>152</v>
      </c>
      <c r="F190" s="7" t="s">
        <v>91</v>
      </c>
      <c r="G190" s="7" t="s">
        <v>94</v>
      </c>
      <c r="H190" s="7"/>
      <c r="I190" s="7"/>
      <c r="J190" s="7" t="s">
        <v>134</v>
      </c>
      <c r="K190" s="7" t="s">
        <v>135</v>
      </c>
      <c r="L190" s="7" t="s">
        <v>88</v>
      </c>
      <c r="M190" s="16" t="s">
        <v>1198</v>
      </c>
      <c r="N190" s="5"/>
      <c r="O190" s="5"/>
      <c r="P190" s="5"/>
      <c r="Q190" s="5"/>
      <c r="R190" s="5"/>
      <c r="S190" s="5"/>
      <c r="T190" s="5"/>
      <c r="U190" s="5"/>
      <c r="V190" s="5"/>
      <c r="W190" s="5"/>
      <c r="X190" s="5"/>
      <c r="Y190" s="5"/>
      <c r="Z190" s="5"/>
    </row>
    <row r="191" ht="15.75" customHeight="1">
      <c r="A191" s="7" t="s">
        <v>78</v>
      </c>
      <c r="B191" s="7" t="s">
        <v>1199</v>
      </c>
      <c r="C191" s="7" t="s">
        <v>1200</v>
      </c>
      <c r="D191" s="7" t="s">
        <v>1199</v>
      </c>
      <c r="E191" s="7" t="s">
        <v>152</v>
      </c>
      <c r="F191" s="7" t="s">
        <v>91</v>
      </c>
      <c r="G191" s="7" t="s">
        <v>94</v>
      </c>
      <c r="H191" s="7"/>
      <c r="I191" s="7"/>
      <c r="J191" s="7" t="s">
        <v>134</v>
      </c>
      <c r="K191" s="7" t="s">
        <v>135</v>
      </c>
      <c r="L191" s="7" t="s">
        <v>135</v>
      </c>
      <c r="M191" s="16" t="s">
        <v>1201</v>
      </c>
      <c r="N191" s="5"/>
      <c r="O191" s="5"/>
      <c r="P191" s="5"/>
      <c r="Q191" s="5"/>
      <c r="R191" s="5"/>
      <c r="S191" s="5"/>
      <c r="T191" s="5"/>
      <c r="U191" s="5"/>
      <c r="V191" s="5"/>
      <c r="W191" s="5"/>
      <c r="X191" s="5"/>
      <c r="Y191" s="5"/>
      <c r="Z191" s="5"/>
    </row>
    <row r="192" ht="15.75" customHeight="1">
      <c r="A192" s="7" t="s">
        <v>78</v>
      </c>
      <c r="B192" s="7" t="s">
        <v>1203</v>
      </c>
      <c r="C192" s="7" t="s">
        <v>1204</v>
      </c>
      <c r="D192" s="7" t="s">
        <v>1206</v>
      </c>
      <c r="E192" s="7" t="s">
        <v>152</v>
      </c>
      <c r="F192" s="7" t="s">
        <v>91</v>
      </c>
      <c r="G192" s="7" t="s">
        <v>534</v>
      </c>
      <c r="H192" s="7" t="s">
        <v>593</v>
      </c>
      <c r="I192" s="7"/>
      <c r="J192" s="7" t="s">
        <v>134</v>
      </c>
      <c r="K192" s="7">
        <v>0.1248</v>
      </c>
      <c r="L192" s="7" t="s">
        <v>88</v>
      </c>
      <c r="M192" s="16" t="s">
        <v>1206</v>
      </c>
      <c r="N192" s="5"/>
      <c r="O192" s="5"/>
      <c r="P192" s="5"/>
      <c r="Q192" s="5"/>
      <c r="R192" s="5"/>
      <c r="S192" s="5"/>
      <c r="T192" s="5"/>
      <c r="U192" s="5"/>
      <c r="V192" s="5"/>
      <c r="W192" s="5"/>
      <c r="X192" s="5"/>
      <c r="Y192" s="5"/>
      <c r="Z192" s="5"/>
    </row>
    <row r="193" ht="15.75" customHeight="1">
      <c r="A193" s="7" t="s">
        <v>78</v>
      </c>
      <c r="B193" s="7" t="s">
        <v>1207</v>
      </c>
      <c r="C193" s="7" t="s">
        <v>1208</v>
      </c>
      <c r="D193" s="7" t="s">
        <v>1209</v>
      </c>
      <c r="E193" s="7" t="s">
        <v>89</v>
      </c>
      <c r="F193" s="7" t="s">
        <v>91</v>
      </c>
      <c r="G193" s="7" t="s">
        <v>94</v>
      </c>
      <c r="H193" s="7"/>
      <c r="I193" s="7"/>
      <c r="J193" s="7" t="s">
        <v>134</v>
      </c>
      <c r="K193" s="7" t="s">
        <v>135</v>
      </c>
      <c r="L193" s="7" t="s">
        <v>135</v>
      </c>
      <c r="M193" s="16" t="s">
        <v>1210</v>
      </c>
      <c r="N193" s="5"/>
      <c r="O193" s="5"/>
      <c r="P193" s="5"/>
      <c r="Q193" s="5"/>
      <c r="R193" s="5"/>
      <c r="S193" s="5"/>
      <c r="T193" s="5"/>
      <c r="U193" s="5"/>
      <c r="V193" s="5"/>
      <c r="W193" s="5"/>
      <c r="X193" s="5"/>
      <c r="Y193" s="5"/>
      <c r="Z193" s="5"/>
    </row>
    <row r="194" ht="15.75" customHeight="1">
      <c r="A194" s="7" t="s">
        <v>78</v>
      </c>
      <c r="B194" s="7" t="s">
        <v>1214</v>
      </c>
      <c r="C194" s="7" t="s">
        <v>1215</v>
      </c>
      <c r="D194" s="7" t="s">
        <v>1216</v>
      </c>
      <c r="E194" s="7" t="s">
        <v>89</v>
      </c>
      <c r="F194" s="7" t="s">
        <v>145</v>
      </c>
      <c r="G194" s="7" t="s">
        <v>94</v>
      </c>
      <c r="H194" s="7"/>
      <c r="I194" s="7"/>
      <c r="J194" s="7" t="s">
        <v>134</v>
      </c>
      <c r="K194" s="7" t="s">
        <v>135</v>
      </c>
      <c r="L194" s="7" t="s">
        <v>135</v>
      </c>
      <c r="M194" s="16" t="s">
        <v>1217</v>
      </c>
      <c r="N194" s="5"/>
      <c r="O194" s="5"/>
      <c r="P194" s="5"/>
      <c r="Q194" s="5"/>
      <c r="R194" s="5"/>
      <c r="S194" s="5"/>
      <c r="T194" s="5"/>
      <c r="U194" s="5"/>
      <c r="V194" s="5"/>
      <c r="W194" s="5"/>
      <c r="X194" s="5"/>
      <c r="Y194" s="5"/>
      <c r="Z194" s="5"/>
    </row>
    <row r="195" ht="15.75" customHeight="1">
      <c r="A195" s="7" t="s">
        <v>78</v>
      </c>
      <c r="B195" s="7" t="s">
        <v>1218</v>
      </c>
      <c r="C195" s="7" t="s">
        <v>1219</v>
      </c>
      <c r="D195" s="7" t="s">
        <v>1221</v>
      </c>
      <c r="E195" s="7" t="s">
        <v>152</v>
      </c>
      <c r="F195" s="7" t="s">
        <v>145</v>
      </c>
      <c r="G195" s="7" t="s">
        <v>156</v>
      </c>
      <c r="H195" s="7" t="s">
        <v>736</v>
      </c>
      <c r="I195" s="7"/>
      <c r="J195" s="7" t="s">
        <v>134</v>
      </c>
      <c r="K195" s="7" t="s">
        <v>135</v>
      </c>
      <c r="L195" s="7" t="s">
        <v>135</v>
      </c>
      <c r="M195" s="16" t="s">
        <v>1221</v>
      </c>
      <c r="N195" s="5"/>
      <c r="O195" s="5"/>
      <c r="P195" s="5"/>
      <c r="Q195" s="5"/>
      <c r="R195" s="5"/>
      <c r="S195" s="5"/>
      <c r="T195" s="5"/>
      <c r="U195" s="5"/>
      <c r="V195" s="5"/>
      <c r="W195" s="5"/>
      <c r="X195" s="5"/>
      <c r="Y195" s="5"/>
      <c r="Z195" s="5"/>
    </row>
    <row r="196" ht="15.75" customHeight="1">
      <c r="A196" s="7" t="s">
        <v>78</v>
      </c>
      <c r="B196" s="7" t="s">
        <v>1223</v>
      </c>
      <c r="C196" s="7" t="s">
        <v>1224</v>
      </c>
      <c r="D196" s="7" t="s">
        <v>1225</v>
      </c>
      <c r="E196" s="7" t="s">
        <v>89</v>
      </c>
      <c r="F196" s="7" t="s">
        <v>145</v>
      </c>
      <c r="G196" s="7" t="s">
        <v>94</v>
      </c>
      <c r="H196" s="7"/>
      <c r="I196" s="7"/>
      <c r="J196" s="7" t="s">
        <v>134</v>
      </c>
      <c r="K196" s="7" t="s">
        <v>135</v>
      </c>
      <c r="L196" s="7" t="s">
        <v>88</v>
      </c>
      <c r="M196" s="16" t="s">
        <v>1226</v>
      </c>
      <c r="N196" s="5"/>
      <c r="O196" s="5"/>
      <c r="P196" s="5"/>
      <c r="Q196" s="5"/>
      <c r="R196" s="5"/>
      <c r="S196" s="5"/>
      <c r="T196" s="5"/>
      <c r="U196" s="5"/>
      <c r="V196" s="5"/>
      <c r="W196" s="5"/>
      <c r="X196" s="5"/>
      <c r="Y196" s="5"/>
      <c r="Z196" s="5"/>
    </row>
    <row r="197" ht="15.75" customHeight="1">
      <c r="A197" s="7" t="s">
        <v>78</v>
      </c>
      <c r="B197" s="7" t="s">
        <v>1228</v>
      </c>
      <c r="C197" s="7" t="s">
        <v>1229</v>
      </c>
      <c r="D197" s="7" t="s">
        <v>1222</v>
      </c>
      <c r="E197" s="7" t="s">
        <v>89</v>
      </c>
      <c r="F197" s="7" t="s">
        <v>145</v>
      </c>
      <c r="G197" s="7" t="s">
        <v>156</v>
      </c>
      <c r="H197" s="7" t="s">
        <v>736</v>
      </c>
      <c r="I197" s="7"/>
      <c r="J197" s="7" t="s">
        <v>134</v>
      </c>
      <c r="K197" s="7" t="s">
        <v>135</v>
      </c>
      <c r="L197" s="7" t="s">
        <v>135</v>
      </c>
      <c r="M197" s="16" t="s">
        <v>1222</v>
      </c>
      <c r="N197" s="5"/>
      <c r="O197" s="5"/>
      <c r="P197" s="5"/>
      <c r="Q197" s="5"/>
      <c r="R197" s="5"/>
      <c r="S197" s="5"/>
      <c r="T197" s="5"/>
      <c r="U197" s="5"/>
      <c r="V197" s="5"/>
      <c r="W197" s="5"/>
      <c r="X197" s="5"/>
      <c r="Y197" s="5"/>
      <c r="Z197" s="5"/>
    </row>
    <row r="198" ht="15.75" customHeight="1">
      <c r="A198" s="7" t="s">
        <v>78</v>
      </c>
      <c r="B198" s="7" t="s">
        <v>1230</v>
      </c>
      <c r="C198" s="7" t="s">
        <v>1231</v>
      </c>
      <c r="D198" s="7" t="s">
        <v>1233</v>
      </c>
      <c r="E198" s="7" t="s">
        <v>152</v>
      </c>
      <c r="F198" s="7" t="s">
        <v>145</v>
      </c>
      <c r="G198" s="7" t="s">
        <v>94</v>
      </c>
      <c r="H198" s="7"/>
      <c r="I198" s="7"/>
      <c r="J198" s="7" t="s">
        <v>134</v>
      </c>
      <c r="K198" s="7" t="s">
        <v>135</v>
      </c>
      <c r="L198" s="7" t="s">
        <v>88</v>
      </c>
      <c r="M198" s="16" t="s">
        <v>1234</v>
      </c>
      <c r="N198" s="5"/>
      <c r="O198" s="5"/>
      <c r="P198" s="5"/>
      <c r="Q198" s="5"/>
      <c r="R198" s="5"/>
      <c r="S198" s="5"/>
      <c r="T198" s="5"/>
      <c r="U198" s="5"/>
      <c r="V198" s="5"/>
      <c r="W198" s="5"/>
      <c r="X198" s="5"/>
      <c r="Y198" s="5"/>
      <c r="Z198" s="5"/>
    </row>
    <row r="199" ht="15.75" customHeight="1">
      <c r="A199" s="7" t="s">
        <v>78</v>
      </c>
      <c r="B199" s="7" t="s">
        <v>1235</v>
      </c>
      <c r="C199" s="7" t="s">
        <v>1236</v>
      </c>
      <c r="D199" s="7" t="s">
        <v>1235</v>
      </c>
      <c r="E199" s="7" t="s">
        <v>152</v>
      </c>
      <c r="F199" s="7" t="s">
        <v>145</v>
      </c>
      <c r="G199" s="7" t="s">
        <v>669</v>
      </c>
      <c r="H199" s="7"/>
      <c r="I199" s="7"/>
      <c r="J199" s="7" t="s">
        <v>134</v>
      </c>
      <c r="K199" s="7" t="s">
        <v>135</v>
      </c>
      <c r="L199" s="7" t="s">
        <v>88</v>
      </c>
      <c r="M199" s="16" t="s">
        <v>1237</v>
      </c>
      <c r="N199" s="5"/>
      <c r="O199" s="5"/>
      <c r="P199" s="5"/>
      <c r="Q199" s="5"/>
      <c r="R199" s="5"/>
      <c r="S199" s="5"/>
      <c r="T199" s="5"/>
      <c r="U199" s="5"/>
      <c r="V199" s="5"/>
      <c r="W199" s="5"/>
      <c r="X199" s="5"/>
      <c r="Y199" s="5"/>
      <c r="Z199" s="5"/>
    </row>
    <row r="200" ht="15.75" customHeight="1">
      <c r="A200" s="7" t="s">
        <v>78</v>
      </c>
      <c r="B200" s="7" t="s">
        <v>1238</v>
      </c>
      <c r="C200" s="7" t="s">
        <v>1239</v>
      </c>
      <c r="D200" s="7" t="s">
        <v>1238</v>
      </c>
      <c r="E200" s="7" t="s">
        <v>152</v>
      </c>
      <c r="F200" s="7" t="s">
        <v>145</v>
      </c>
      <c r="G200" s="7" t="s">
        <v>669</v>
      </c>
      <c r="H200" s="7"/>
      <c r="I200" s="7"/>
      <c r="J200" s="7" t="s">
        <v>134</v>
      </c>
      <c r="K200" s="7" t="s">
        <v>135</v>
      </c>
      <c r="L200" s="7" t="s">
        <v>88</v>
      </c>
      <c r="M200" s="16" t="s">
        <v>1240</v>
      </c>
      <c r="N200" s="5"/>
      <c r="O200" s="5"/>
      <c r="P200" s="5"/>
      <c r="Q200" s="5"/>
      <c r="R200" s="5"/>
      <c r="S200" s="5"/>
      <c r="T200" s="5"/>
      <c r="U200" s="5"/>
      <c r="V200" s="5"/>
      <c r="W200" s="5"/>
      <c r="X200" s="5"/>
      <c r="Y200" s="5"/>
      <c r="Z200" s="5"/>
    </row>
    <row r="201" ht="15.75" customHeight="1">
      <c r="A201" s="7" t="s">
        <v>78</v>
      </c>
      <c r="B201" s="7" t="s">
        <v>1241</v>
      </c>
      <c r="C201" s="7" t="s">
        <v>1243</v>
      </c>
      <c r="D201" s="7" t="s">
        <v>1244</v>
      </c>
      <c r="E201" s="7" t="s">
        <v>89</v>
      </c>
      <c r="F201" s="7" t="s">
        <v>145</v>
      </c>
      <c r="G201" s="7" t="s">
        <v>156</v>
      </c>
      <c r="H201" s="7" t="s">
        <v>855</v>
      </c>
      <c r="I201" s="7"/>
      <c r="J201" s="7" t="s">
        <v>134</v>
      </c>
      <c r="K201" s="7" t="s">
        <v>135</v>
      </c>
      <c r="L201" s="7" t="s">
        <v>135</v>
      </c>
      <c r="M201" s="16" t="s">
        <v>1244</v>
      </c>
      <c r="N201" s="5"/>
      <c r="O201" s="5"/>
      <c r="P201" s="5"/>
      <c r="Q201" s="5"/>
      <c r="R201" s="5"/>
      <c r="S201" s="5"/>
      <c r="T201" s="5"/>
      <c r="U201" s="5"/>
      <c r="V201" s="5"/>
      <c r="W201" s="5"/>
      <c r="X201" s="5"/>
      <c r="Y201" s="5"/>
      <c r="Z201" s="5"/>
    </row>
    <row r="202" ht="15.75" customHeight="1">
      <c r="A202" s="7" t="s">
        <v>78</v>
      </c>
      <c r="B202" s="7" t="s">
        <v>1246</v>
      </c>
      <c r="C202" s="7" t="s">
        <v>1247</v>
      </c>
      <c r="D202" s="7" t="s">
        <v>1248</v>
      </c>
      <c r="E202" s="7" t="s">
        <v>152</v>
      </c>
      <c r="F202" s="7" t="s">
        <v>145</v>
      </c>
      <c r="G202" s="7" t="s">
        <v>94</v>
      </c>
      <c r="H202" s="7"/>
      <c r="I202" s="7"/>
      <c r="J202" s="7" t="s">
        <v>134</v>
      </c>
      <c r="K202" s="7" t="s">
        <v>135</v>
      </c>
      <c r="L202" s="7" t="s">
        <v>135</v>
      </c>
      <c r="M202" s="16" t="s">
        <v>1248</v>
      </c>
      <c r="N202" s="5"/>
      <c r="O202" s="5"/>
      <c r="P202" s="5"/>
      <c r="Q202" s="5"/>
      <c r="R202" s="5"/>
      <c r="S202" s="5"/>
      <c r="T202" s="5"/>
      <c r="U202" s="5"/>
      <c r="V202" s="5"/>
      <c r="W202" s="5"/>
      <c r="X202" s="5"/>
      <c r="Y202" s="5"/>
      <c r="Z202" s="5"/>
    </row>
    <row r="203" ht="15.75" customHeight="1">
      <c r="A203" s="7" t="s">
        <v>78</v>
      </c>
      <c r="B203" s="7" t="s">
        <v>1249</v>
      </c>
      <c r="C203" s="7" t="s">
        <v>1250</v>
      </c>
      <c r="D203" s="7" t="s">
        <v>1251</v>
      </c>
      <c r="E203" s="7" t="s">
        <v>127</v>
      </c>
      <c r="F203" s="7" t="s">
        <v>145</v>
      </c>
      <c r="G203" s="7" t="s">
        <v>156</v>
      </c>
      <c r="H203" s="7" t="s">
        <v>736</v>
      </c>
      <c r="I203" s="7"/>
      <c r="J203" s="7" t="s">
        <v>134</v>
      </c>
      <c r="K203" s="7">
        <v>0.697727272727273</v>
      </c>
      <c r="L203" s="7" t="s">
        <v>88</v>
      </c>
      <c r="M203" s="16" t="s">
        <v>1252</v>
      </c>
      <c r="N203" s="5"/>
      <c r="O203" s="5"/>
      <c r="P203" s="5"/>
      <c r="Q203" s="5"/>
      <c r="R203" s="5"/>
      <c r="S203" s="5"/>
      <c r="T203" s="5"/>
      <c r="U203" s="5"/>
      <c r="V203" s="5"/>
      <c r="W203" s="5"/>
      <c r="X203" s="5"/>
      <c r="Y203" s="5"/>
      <c r="Z203" s="5"/>
    </row>
    <row r="204" ht="15.75" customHeight="1">
      <c r="A204" s="7" t="s">
        <v>78</v>
      </c>
      <c r="B204" s="7" t="s">
        <v>1256</v>
      </c>
      <c r="C204" s="7" t="s">
        <v>1257</v>
      </c>
      <c r="D204" s="7" t="s">
        <v>1259</v>
      </c>
      <c r="E204" s="7" t="s">
        <v>89</v>
      </c>
      <c r="F204" s="7" t="s">
        <v>145</v>
      </c>
      <c r="G204" s="7" t="s">
        <v>156</v>
      </c>
      <c r="H204" s="7" t="s">
        <v>855</v>
      </c>
      <c r="I204" s="7" t="s">
        <v>696</v>
      </c>
      <c r="J204" s="7" t="s">
        <v>134</v>
      </c>
      <c r="K204" s="7" t="s">
        <v>135</v>
      </c>
      <c r="L204" s="7" t="s">
        <v>135</v>
      </c>
      <c r="M204" s="16" t="s">
        <v>1259</v>
      </c>
      <c r="N204" s="5"/>
      <c r="O204" s="5"/>
      <c r="P204" s="5"/>
      <c r="Q204" s="5"/>
      <c r="R204" s="5"/>
      <c r="S204" s="5"/>
      <c r="T204" s="5"/>
      <c r="U204" s="5"/>
      <c r="V204" s="5"/>
      <c r="W204" s="5"/>
      <c r="X204" s="5"/>
      <c r="Y204" s="5"/>
      <c r="Z204" s="5"/>
    </row>
    <row r="205" ht="15.75" customHeight="1">
      <c r="A205" s="7" t="s">
        <v>78</v>
      </c>
      <c r="B205" s="7" t="s">
        <v>1260</v>
      </c>
      <c r="C205" s="7" t="s">
        <v>1261</v>
      </c>
      <c r="D205" s="7" t="s">
        <v>1262</v>
      </c>
      <c r="E205" s="7" t="s">
        <v>152</v>
      </c>
      <c r="F205" s="7" t="s">
        <v>145</v>
      </c>
      <c r="G205" s="7" t="s">
        <v>156</v>
      </c>
      <c r="H205" s="7" t="s">
        <v>855</v>
      </c>
      <c r="I205" s="7"/>
      <c r="J205" s="7" t="s">
        <v>134</v>
      </c>
      <c r="K205" s="7" t="s">
        <v>135</v>
      </c>
      <c r="L205" s="7" t="s">
        <v>135</v>
      </c>
      <c r="M205" s="16" t="s">
        <v>1262</v>
      </c>
      <c r="N205" s="5"/>
      <c r="O205" s="5"/>
      <c r="P205" s="5"/>
      <c r="Q205" s="5"/>
      <c r="R205" s="5"/>
      <c r="S205" s="5"/>
      <c r="T205" s="5"/>
      <c r="U205" s="5"/>
      <c r="V205" s="5"/>
      <c r="W205" s="5"/>
      <c r="X205" s="5"/>
      <c r="Y205" s="5"/>
      <c r="Z205" s="5"/>
    </row>
    <row r="206" ht="15.75" customHeight="1">
      <c r="A206" s="7" t="s">
        <v>78</v>
      </c>
      <c r="B206" s="7" t="s">
        <v>1263</v>
      </c>
      <c r="C206" s="7" t="s">
        <v>1264</v>
      </c>
      <c r="D206" s="7" t="s">
        <v>1265</v>
      </c>
      <c r="E206" s="7" t="s">
        <v>152</v>
      </c>
      <c r="F206" s="7" t="s">
        <v>145</v>
      </c>
      <c r="G206" s="7" t="s">
        <v>156</v>
      </c>
      <c r="H206" s="7" t="s">
        <v>855</v>
      </c>
      <c r="I206" s="7"/>
      <c r="J206" s="7" t="s">
        <v>134</v>
      </c>
      <c r="K206" s="7" t="s">
        <v>135</v>
      </c>
      <c r="L206" s="7" t="s">
        <v>135</v>
      </c>
      <c r="M206" s="16" t="s">
        <v>1265</v>
      </c>
      <c r="N206" s="5"/>
      <c r="O206" s="5"/>
      <c r="P206" s="5"/>
      <c r="Q206" s="5"/>
      <c r="R206" s="5"/>
      <c r="S206" s="5"/>
      <c r="T206" s="5"/>
      <c r="U206" s="5"/>
      <c r="V206" s="5"/>
      <c r="W206" s="5"/>
      <c r="X206" s="5"/>
      <c r="Y206" s="5"/>
      <c r="Z206" s="5"/>
    </row>
    <row r="207" ht="15.75" customHeight="1">
      <c r="A207" s="7" t="s">
        <v>78</v>
      </c>
      <c r="B207" s="7" t="s">
        <v>1266</v>
      </c>
      <c r="C207" s="7" t="s">
        <v>1267</v>
      </c>
      <c r="D207" s="7" t="s">
        <v>1268</v>
      </c>
      <c r="E207" s="7" t="s">
        <v>89</v>
      </c>
      <c r="F207" s="7" t="s">
        <v>145</v>
      </c>
      <c r="G207" s="7" t="s">
        <v>248</v>
      </c>
      <c r="H207" s="7" t="s">
        <v>593</v>
      </c>
      <c r="I207" s="7"/>
      <c r="J207" s="7" t="s">
        <v>134</v>
      </c>
      <c r="K207" s="7" t="s">
        <v>135</v>
      </c>
      <c r="L207" s="7" t="s">
        <v>135</v>
      </c>
      <c r="M207" s="16" t="s">
        <v>1268</v>
      </c>
      <c r="N207" s="5"/>
      <c r="O207" s="5"/>
      <c r="P207" s="5"/>
      <c r="Q207" s="5"/>
      <c r="R207" s="5"/>
      <c r="S207" s="5"/>
      <c r="T207" s="5"/>
      <c r="U207" s="5"/>
      <c r="V207" s="5"/>
      <c r="W207" s="5"/>
      <c r="X207" s="5"/>
      <c r="Y207" s="5"/>
      <c r="Z207" s="5"/>
    </row>
    <row r="208" ht="15.75" customHeight="1">
      <c r="A208" s="7" t="s">
        <v>78</v>
      </c>
      <c r="B208" s="7" t="s">
        <v>1271</v>
      </c>
      <c r="C208" s="7" t="s">
        <v>1272</v>
      </c>
      <c r="D208" s="7" t="s">
        <v>1273</v>
      </c>
      <c r="E208" s="7" t="s">
        <v>89</v>
      </c>
      <c r="F208" s="7" t="s">
        <v>145</v>
      </c>
      <c r="G208" s="7" t="s">
        <v>669</v>
      </c>
      <c r="H208" s="7"/>
      <c r="I208" s="7"/>
      <c r="J208" s="7" t="s">
        <v>134</v>
      </c>
      <c r="K208" s="7" t="s">
        <v>135</v>
      </c>
      <c r="L208" s="7" t="s">
        <v>135</v>
      </c>
      <c r="M208" s="16" t="s">
        <v>1274</v>
      </c>
      <c r="N208" s="5"/>
      <c r="O208" s="5"/>
      <c r="P208" s="5"/>
      <c r="Q208" s="5"/>
      <c r="R208" s="5"/>
      <c r="S208" s="5"/>
      <c r="T208" s="5"/>
      <c r="U208" s="5"/>
      <c r="V208" s="5"/>
      <c r="W208" s="5"/>
      <c r="X208" s="5"/>
      <c r="Y208" s="5"/>
      <c r="Z208" s="5"/>
    </row>
    <row r="209" ht="15.75" customHeight="1">
      <c r="A209" s="7" t="s">
        <v>78</v>
      </c>
      <c r="B209" s="7" t="s">
        <v>1279</v>
      </c>
      <c r="C209" s="7" t="s">
        <v>1280</v>
      </c>
      <c r="D209" s="7" t="s">
        <v>1279</v>
      </c>
      <c r="E209" s="7" t="s">
        <v>89</v>
      </c>
      <c r="F209" s="7" t="s">
        <v>145</v>
      </c>
      <c r="G209" s="7" t="s">
        <v>94</v>
      </c>
      <c r="H209" s="7"/>
      <c r="I209" s="7"/>
      <c r="J209" s="7" t="s">
        <v>134</v>
      </c>
      <c r="K209" s="7" t="s">
        <v>135</v>
      </c>
      <c r="L209" s="7" t="s">
        <v>72</v>
      </c>
      <c r="M209" s="16" t="s">
        <v>1281</v>
      </c>
      <c r="N209" s="5"/>
      <c r="O209" s="5"/>
      <c r="P209" s="5"/>
      <c r="Q209" s="5"/>
      <c r="R209" s="5"/>
      <c r="S209" s="5"/>
      <c r="T209" s="5"/>
      <c r="U209" s="5"/>
      <c r="V209" s="5"/>
      <c r="W209" s="5"/>
      <c r="X209" s="5"/>
      <c r="Y209" s="5"/>
      <c r="Z209" s="5"/>
    </row>
    <row r="210" ht="15.7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ht="15.7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ht="15.7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ht="15.7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ht="15.7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ht="15.7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ht="15.7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ht="15.7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ht="15.7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ht="15.7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ht="15.7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ht="15.7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ht="15.7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ht="15.7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ht="15.7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ht="15.7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ht="15.7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ht="15.7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ht="15.7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ht="15.7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ht="15.7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ht="15.7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ht="15.7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ht="15.7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ht="15.7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ht="15.7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ht="15.7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ht="15.7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ht="15.7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ht="15.7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ht="15.7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ht="15.7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ht="15.7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ht="15.7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ht="15.7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ht="15.7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ht="15.7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ht="15.7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ht="15.7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ht="15.7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ht="15.7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ht="15.7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ht="15.7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ht="15.7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ht="15.7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ht="15.7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ht="15.7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ht="15.7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ht="15.7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ht="15.7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ht="15.7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ht="15.7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ht="15.7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ht="15.7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ht="15.7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ht="15.7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ht="15.7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ht="15.7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ht="15.7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ht="15.7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ht="15.7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ht="15.7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ht="15.7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ht="15.7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ht="15.7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ht="15.7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ht="15.7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ht="15.7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ht="15.7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ht="15.7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ht="15.7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ht="15.7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ht="15.7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ht="15.7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ht="15.7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ht="15.7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ht="15.7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ht="15.7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ht="15.7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ht="15.7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ht="15.7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ht="15.7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ht="15.7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ht="15.7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ht="15.7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ht="15.7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ht="15.7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ht="15.7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ht="15.7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ht="15.7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ht="15.7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ht="15.7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ht="15.7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ht="15.7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ht="15.7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ht="15.7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ht="15.7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ht="15.7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ht="15.7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ht="15.7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ht="15.7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ht="15.7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ht="15.7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ht="15.7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ht="15.7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ht="15.7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ht="15.7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ht="15.7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ht="15.7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ht="15.7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ht="15.7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ht="15.7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ht="15.7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ht="15.7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ht="15.7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ht="15.7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ht="15.7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ht="15.7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ht="15.7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ht="15.7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ht="15.7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ht="15.7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ht="15.7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ht="15.7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ht="15.7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ht="15.7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ht="15.7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ht="15.7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ht="15.7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ht="15.7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ht="15.7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ht="15.7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ht="15.7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ht="15.7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ht="15.7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ht="15.7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ht="15.7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ht="15.7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ht="15.7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ht="15.7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ht="15.7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ht="15.7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ht="15.7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ht="15.7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ht="15.7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ht="15.7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ht="15.7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ht="15.7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ht="15.7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ht="15.7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ht="15.7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ht="15.7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ht="15.7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ht="15.7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ht="15.7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ht="15.7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ht="15.7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ht="15.7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ht="15.7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ht="15.7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ht="15.7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ht="15.7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ht="15.7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ht="15.7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ht="15.7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ht="15.7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ht="15.7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ht="15.7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ht="15.7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ht="15.7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ht="15.7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ht="15.7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ht="15.7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ht="15.7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ht="15.7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ht="15.7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ht="15.7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ht="15.7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ht="15.7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ht="15.7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ht="15.7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ht="15.7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ht="15.7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ht="15.7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ht="15.7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ht="15.7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ht="15.7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ht="15.7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ht="15.7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ht="15.7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ht="15.7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ht="15.7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ht="15.7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ht="15.7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ht="15.7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ht="15.7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ht="15.7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ht="15.7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ht="15.7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ht="15.7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ht="15.7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ht="15.7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ht="15.7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ht="15.7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ht="15.7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ht="15.7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ht="15.7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ht="15.7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ht="15.7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ht="15.7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ht="15.7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ht="15.7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ht="15.7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ht="15.7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ht="15.7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ht="15.7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ht="15.7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ht="15.7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ht="15.7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ht="15.7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ht="15.7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ht="15.7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ht="15.7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ht="15.7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ht="15.7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ht="15.7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ht="15.7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ht="15.7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ht="15.7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ht="15.7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ht="15.7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ht="15.7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ht="15.7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ht="15.7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ht="15.7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ht="15.7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ht="15.7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ht="15.7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ht="15.7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ht="15.7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ht="15.7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ht="15.7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ht="15.7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ht="15.7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ht="15.7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ht="15.7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ht="15.7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ht="15.7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ht="15.7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ht="15.7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ht="15.7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ht="15.7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ht="15.7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ht="15.7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ht="15.7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ht="15.7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ht="15.7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ht="15.7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ht="15.7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ht="15.7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ht="15.7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ht="15.7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ht="15.7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ht="15.7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ht="15.7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ht="15.7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ht="15.7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ht="15.7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ht="15.7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ht="15.7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ht="15.7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ht="15.7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ht="15.7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ht="15.7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ht="15.7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ht="15.7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ht="15.7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ht="15.7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ht="15.7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ht="15.7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ht="15.7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ht="15.7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ht="15.7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ht="15.7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ht="15.7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ht="15.7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ht="15.7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ht="15.7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ht="15.7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ht="15.7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ht="15.7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ht="15.7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ht="15.7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ht="15.7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ht="15.7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ht="15.7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ht="15.7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ht="15.7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ht="15.7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ht="15.7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ht="15.7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ht="15.7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ht="15.7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ht="15.7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ht="15.7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ht="15.7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ht="15.7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ht="15.7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ht="15.7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ht="15.7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ht="15.7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ht="15.7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ht="15.7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ht="15.7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ht="15.7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ht="15.7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ht="15.7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ht="15.7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ht="15.7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ht="15.7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ht="15.7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ht="15.7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ht="15.7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ht="15.7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ht="15.7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ht="15.7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ht="15.7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ht="15.7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ht="15.7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ht="15.7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ht="15.7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ht="15.7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ht="15.7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ht="15.7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ht="15.7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ht="15.7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ht="15.7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ht="15.7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ht="15.7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ht="15.7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ht="15.7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ht="15.7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ht="15.7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ht="15.7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ht="15.7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ht="15.7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ht="15.7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ht="15.7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ht="15.7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ht="15.7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ht="15.7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ht="15.7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ht="15.7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ht="15.7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ht="15.7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ht="15.7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ht="15.7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ht="15.7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ht="15.7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ht="15.7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ht="15.7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ht="15.7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ht="15.7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ht="15.7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ht="15.7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ht="15.7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ht="15.7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ht="15.7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ht="15.7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ht="15.7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ht="15.7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ht="15.7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ht="15.7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ht="15.7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ht="15.7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ht="15.7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ht="15.7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ht="15.7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ht="15.7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ht="15.7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ht="15.7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ht="15.7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ht="15.7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ht="15.7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ht="15.7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ht="15.7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ht="15.7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ht="15.7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ht="15.7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ht="15.7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ht="15.7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ht="15.7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ht="15.7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ht="15.7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ht="15.7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ht="15.7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ht="15.7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ht="15.7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ht="15.7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ht="15.7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ht="15.7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ht="15.7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ht="15.7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ht="15.7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ht="15.7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ht="15.7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ht="15.7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ht="15.7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ht="15.7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ht="15.7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ht="15.7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ht="15.7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ht="15.7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ht="15.7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ht="15.7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ht="15.7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ht="15.7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ht="15.7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ht="15.7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ht="15.7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ht="15.7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ht="15.7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ht="15.7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ht="15.7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ht="15.7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ht="15.7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ht="15.7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ht="15.7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ht="15.7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ht="15.7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ht="15.7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ht="15.7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ht="15.7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ht="15.7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ht="15.7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ht="15.7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ht="15.7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ht="15.7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ht="15.7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ht="15.7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ht="15.7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ht="15.7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ht="15.7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ht="15.7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ht="15.7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ht="15.7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ht="15.7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ht="15.7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ht="15.7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ht="15.7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ht="15.7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ht="15.7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ht="15.7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ht="15.7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ht="15.7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ht="15.7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ht="15.7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ht="15.7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ht="15.7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ht="15.7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ht="15.7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ht="15.7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ht="15.7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ht="15.7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ht="15.7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ht="15.7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ht="15.7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ht="15.7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ht="15.7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ht="15.7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ht="15.7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ht="15.7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ht="15.7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ht="15.7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ht="15.7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ht="15.7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ht="15.7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ht="15.7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ht="15.7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ht="15.7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ht="15.7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ht="15.7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ht="15.7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ht="15.7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ht="15.7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ht="15.7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ht="15.7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ht="15.7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ht="15.7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ht="15.7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ht="15.7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ht="15.7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ht="15.7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ht="15.7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ht="15.7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ht="15.7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ht="15.7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ht="15.7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ht="15.7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ht="15.7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ht="15.7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ht="15.7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ht="15.7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ht="15.7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ht="15.7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ht="15.7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ht="15.7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ht="15.7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ht="15.7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ht="15.7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ht="15.7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ht="15.7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ht="15.7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ht="15.7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ht="15.7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ht="15.7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ht="15.7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ht="15.7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ht="15.7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ht="15.7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ht="15.7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ht="15.7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ht="15.7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ht="15.7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ht="15.7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ht="15.7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ht="15.7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ht="15.7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ht="15.7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ht="15.7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ht="15.7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ht="15.7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ht="15.7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ht="15.7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ht="15.7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ht="15.7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ht="15.7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ht="15.7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ht="15.7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ht="15.7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ht="15.7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ht="15.7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ht="15.7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ht="15.7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ht="15.7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ht="15.7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ht="15.7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ht="15.7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ht="15.7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ht="15.7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ht="15.7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ht="15.7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ht="15.7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ht="15.7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ht="15.7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ht="15.7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ht="15.7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ht="15.7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ht="15.7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ht="15.7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ht="15.7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ht="15.7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ht="15.7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ht="15.7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ht="15.7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ht="15.7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ht="15.7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ht="15.7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ht="15.7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ht="15.7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ht="15.7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ht="15.7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ht="15.7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ht="15.7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ht="15.7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ht="15.7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ht="15.7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ht="15.7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ht="15.7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ht="15.7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ht="15.7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ht="15.7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ht="15.7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ht="15.7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ht="15.7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ht="15.7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ht="15.7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ht="15.7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ht="15.7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ht="15.7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ht="15.7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ht="15.7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ht="15.7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ht="15.7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ht="15.7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ht="15.7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ht="15.7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ht="15.7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ht="15.7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ht="15.7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ht="15.7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ht="15.7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ht="15.7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ht="15.7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ht="15.7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ht="15.7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ht="15.7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ht="15.7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ht="15.7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ht="15.7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ht="15.7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ht="15.7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ht="15.7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ht="15.7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ht="15.7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ht="15.7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ht="15.7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ht="15.7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ht="15.7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ht="15.7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ht="15.7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ht="15.7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ht="15.7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ht="15.7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ht="15.7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ht="15.7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ht="15.7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ht="15.7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ht="15.7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ht="15.7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ht="15.7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ht="15.7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ht="15.7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ht="15.7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ht="15.7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ht="15.7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ht="15.7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ht="15.7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ht="15.7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ht="15.7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ht="15.7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ht="15.7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ht="15.7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ht="15.7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ht="15.7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ht="15.7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ht="15.7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ht="15.7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ht="15.7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ht="15.7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ht="15.7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ht="15.7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ht="15.7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ht="15.7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ht="15.7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ht="15.7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ht="15.7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ht="15.7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ht="15.7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ht="15.7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ht="15.7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ht="15.7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ht="15.7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ht="15.7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ht="15.7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ht="15.7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ht="15.7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ht="15.7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ht="15.7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ht="15.7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ht="15.7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ht="15.7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ht="15.7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ht="15.7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ht="15.7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ht="15.7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ht="15.7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ht="15.7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ht="15.7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ht="15.7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ht="15.7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ht="15.7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ht="15.7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ht="15.7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ht="15.7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ht="15.7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ht="15.7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ht="15.7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ht="15.7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ht="15.7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ht="15.7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ht="15.7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ht="15.7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ht="15.7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ht="15.7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ht="15.7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ht="15.7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ht="15.7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ht="15.7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ht="15.7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ht="15.7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ht="15.7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ht="15.7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ht="15.7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ht="15.7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ht="15.7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ht="15.7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ht="15.7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ht="15.7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ht="15.7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ht="15.7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ht="15.7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ht="15.7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ht="15.7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ht="15.7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ht="15.7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ht="15.7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ht="15.7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ht="15.7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ht="15.7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ht="15.7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ht="15.7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ht="15.7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ht="15.7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ht="15.7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ht="15.7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ht="15.7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ht="15.7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ht="15.7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ht="15.7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ht="15.7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ht="15.7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ht="15.7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ht="15.7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ht="15.7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ht="15.7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ht="15.7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ht="15.7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ht="15.7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ht="15.7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ht="15.7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ht="15.7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ht="15.7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ht="15.7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ht="15.7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ht="15.7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ht="15.7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ht="15.7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ht="15.7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ht="15.7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ht="15.7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ht="15.7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ht="15.7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ht="15.7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ht="15.7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ht="15.7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ht="15.7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ht="15.7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ht="15.7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ht="15.7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ht="15.7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ht="15.7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ht="15.7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ht="15.7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ht="15.7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ht="15.7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ht="15.7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ht="15.7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ht="15.7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ht="15.7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ht="15.7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ht="15.7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ht="15.7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ht="15.7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ht="15.7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ht="15.7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ht="15.7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ht="15.75"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ht="15.75"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ht="15.75"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ht="15.75" customHeight="1">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ht="15.75" customHeight="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ht="15.75" customHeight="1">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ht="15.75" customHeight="1">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ht="15.75" customHeight="1">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ht="15.75" customHeight="1">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ht="15.75" customHeight="1">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ht="15.75" customHeight="1">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ht="15.75" customHeight="1">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ht="15.75" customHeight="1">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ht="15.75" customHeight="1">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printOptions/>
  <pageMargins bottom="1.0" footer="0.0" header="0.0" left="0.75" right="0.75" top="1.0"/>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4.0"/>
    <col customWidth="1" min="2" max="2" width="14.0"/>
    <col customWidth="1" min="3" max="3" width="40.0"/>
    <col customWidth="1" min="4" max="6" width="8.71"/>
  </cols>
  <sheetData>
    <row r="1">
      <c r="A1" s="124" t="s">
        <v>1579</v>
      </c>
      <c r="B1" s="5"/>
      <c r="C1" s="5"/>
      <c r="D1" s="5"/>
      <c r="E1" s="5"/>
      <c r="F1" s="5"/>
      <c r="G1" s="5"/>
      <c r="H1" s="5"/>
      <c r="I1" s="5"/>
      <c r="J1" s="5"/>
      <c r="K1" s="5"/>
      <c r="L1" s="5"/>
      <c r="M1" s="5"/>
      <c r="N1" s="5"/>
      <c r="O1" s="5"/>
      <c r="P1" s="5"/>
      <c r="Q1" s="5"/>
      <c r="R1" s="5"/>
      <c r="S1" s="5"/>
      <c r="T1" s="5"/>
      <c r="U1" s="5"/>
      <c r="V1" s="5"/>
      <c r="W1" s="5"/>
      <c r="X1" s="5"/>
      <c r="Y1" s="5"/>
      <c r="Z1" s="5"/>
    </row>
    <row r="2">
      <c r="A2" s="5"/>
      <c r="B2" s="5"/>
      <c r="C2" s="5"/>
      <c r="D2" s="5"/>
      <c r="E2" s="5"/>
      <c r="F2" s="5"/>
      <c r="G2" s="5"/>
      <c r="H2" s="5"/>
      <c r="I2" s="5"/>
      <c r="J2" s="5"/>
      <c r="K2" s="5"/>
      <c r="L2" s="5"/>
      <c r="M2" s="5"/>
      <c r="N2" s="5"/>
      <c r="O2" s="5"/>
      <c r="P2" s="5"/>
      <c r="Q2" s="5"/>
      <c r="R2" s="5"/>
      <c r="S2" s="5"/>
      <c r="T2" s="5"/>
      <c r="U2" s="5"/>
      <c r="V2" s="5"/>
      <c r="W2" s="5"/>
      <c r="X2" s="5"/>
      <c r="Y2" s="5"/>
      <c r="Z2" s="5"/>
    </row>
    <row r="3">
      <c r="A3" s="125" t="s">
        <v>1580</v>
      </c>
      <c r="B3" s="126">
        <f>COUNTA('Supplier Master (India)'!AR2:AR108)</f>
        <v>107</v>
      </c>
      <c r="C3" s="5"/>
      <c r="D3" s="5"/>
      <c r="E3" s="5"/>
      <c r="F3" s="5"/>
      <c r="G3" s="5"/>
      <c r="H3" s="5"/>
      <c r="I3" s="5"/>
      <c r="J3" s="5"/>
      <c r="K3" s="5"/>
      <c r="L3" s="5"/>
      <c r="M3" s="5"/>
      <c r="N3" s="5"/>
      <c r="O3" s="5"/>
      <c r="P3" s="5"/>
      <c r="Q3" s="5"/>
      <c r="R3" s="5"/>
      <c r="S3" s="5"/>
      <c r="T3" s="5"/>
      <c r="U3" s="5"/>
      <c r="V3" s="5"/>
      <c r="W3" s="5"/>
      <c r="X3" s="5"/>
      <c r="Y3" s="5"/>
      <c r="Z3" s="5"/>
    </row>
    <row r="4">
      <c r="A4" s="125" t="s">
        <v>1581</v>
      </c>
      <c r="B4" s="126">
        <f>COUNTIF('Supplier Master (India)'!A2:A108,1)</f>
        <v>30</v>
      </c>
      <c r="C4" s="5"/>
      <c r="D4" s="5"/>
      <c r="E4" s="5"/>
      <c r="F4" s="5"/>
      <c r="G4" s="5"/>
      <c r="H4" s="5"/>
      <c r="I4" s="5"/>
      <c r="J4" s="5"/>
      <c r="K4" s="5"/>
      <c r="L4" s="5"/>
      <c r="M4" s="5"/>
      <c r="N4" s="5"/>
      <c r="O4" s="5"/>
      <c r="P4" s="5"/>
      <c r="Q4" s="5"/>
      <c r="R4" s="5"/>
      <c r="S4" s="5"/>
      <c r="T4" s="5"/>
      <c r="U4" s="5"/>
      <c r="V4" s="5"/>
      <c r="W4" s="5"/>
      <c r="X4" s="5"/>
      <c r="Y4" s="5"/>
      <c r="Z4" s="5"/>
    </row>
    <row r="5">
      <c r="A5" s="125" t="s">
        <v>1582</v>
      </c>
      <c r="B5" s="126">
        <f>COUNTIF('Supplier Master (India)'!A2:A108,2)</f>
        <v>77</v>
      </c>
      <c r="C5" s="5"/>
      <c r="D5" s="5"/>
      <c r="E5" s="5"/>
      <c r="F5" s="5"/>
      <c r="G5" s="5"/>
      <c r="H5" s="5"/>
      <c r="I5" s="5"/>
      <c r="J5" s="5"/>
      <c r="K5" s="5"/>
      <c r="L5" s="5"/>
      <c r="M5" s="5"/>
      <c r="N5" s="5"/>
      <c r="O5" s="5"/>
      <c r="P5" s="5"/>
      <c r="Q5" s="5"/>
      <c r="R5" s="5"/>
      <c r="S5" s="5"/>
      <c r="T5" s="5"/>
      <c r="U5" s="5"/>
      <c r="V5" s="5"/>
      <c r="W5" s="5"/>
      <c r="X5" s="5"/>
      <c r="Y5" s="5"/>
      <c r="Z5" s="5"/>
    </row>
    <row r="6">
      <c r="A6" s="125"/>
      <c r="B6" s="5"/>
      <c r="C6" s="5"/>
      <c r="D6" s="5"/>
      <c r="E6" s="5"/>
      <c r="F6" s="5"/>
      <c r="G6" s="5"/>
      <c r="H6" s="5"/>
      <c r="I6" s="5"/>
      <c r="J6" s="5"/>
      <c r="K6" s="5"/>
      <c r="L6" s="5"/>
      <c r="M6" s="5"/>
      <c r="N6" s="5"/>
      <c r="O6" s="5"/>
      <c r="P6" s="5"/>
      <c r="Q6" s="5"/>
      <c r="R6" s="5"/>
      <c r="S6" s="5"/>
      <c r="T6" s="5"/>
      <c r="U6" s="5"/>
      <c r="V6" s="5"/>
      <c r="W6" s="5"/>
      <c r="X6" s="5"/>
      <c r="Y6" s="5"/>
      <c r="Z6" s="5"/>
    </row>
    <row r="7">
      <c r="A7" s="125" t="s">
        <v>1583</v>
      </c>
      <c r="B7" s="126">
        <f>COUNTIF('Supplier Master (India)'!AR2:AR108,"Not Started")</f>
        <v>0</v>
      </c>
      <c r="C7" s="5"/>
      <c r="D7" s="5"/>
      <c r="E7" s="5"/>
      <c r="F7" s="5"/>
      <c r="G7" s="5"/>
      <c r="H7" s="5"/>
      <c r="I7" s="5"/>
      <c r="J7" s="5"/>
      <c r="K7" s="5"/>
      <c r="L7" s="5"/>
      <c r="M7" s="5"/>
      <c r="N7" s="5"/>
      <c r="O7" s="5"/>
      <c r="P7" s="5"/>
      <c r="Q7" s="5"/>
      <c r="R7" s="5"/>
      <c r="S7" s="5"/>
      <c r="T7" s="5"/>
      <c r="U7" s="5"/>
      <c r="V7" s="5"/>
      <c r="W7" s="5"/>
      <c r="X7" s="5"/>
      <c r="Y7" s="5"/>
      <c r="Z7" s="5"/>
    </row>
    <row r="8">
      <c r="A8" s="125" t="s">
        <v>355</v>
      </c>
      <c r="B8" s="126">
        <f>COUNTIF('Supplier Master (India)'!AR2:AR108,"In Progress")</f>
        <v>10</v>
      </c>
      <c r="C8" s="5"/>
      <c r="D8" s="5"/>
      <c r="E8" s="5"/>
      <c r="F8" s="5"/>
      <c r="G8" s="5"/>
      <c r="H8" s="5"/>
      <c r="I8" s="5"/>
      <c r="J8" s="5"/>
      <c r="K8" s="5"/>
      <c r="L8" s="5"/>
      <c r="M8" s="5"/>
      <c r="N8" s="5"/>
      <c r="O8" s="5"/>
      <c r="P8" s="5"/>
      <c r="Q8" s="5"/>
      <c r="R8" s="5"/>
      <c r="S8" s="5"/>
      <c r="T8" s="5"/>
      <c r="U8" s="5"/>
      <c r="V8" s="5"/>
      <c r="W8" s="5"/>
      <c r="X8" s="5"/>
      <c r="Y8" s="5"/>
      <c r="Z8" s="5"/>
    </row>
    <row r="9">
      <c r="A9" s="125" t="s">
        <v>553</v>
      </c>
      <c r="B9" s="126">
        <f>COUNTIF('Supplier Master (India)'!AR2:AR108,"Data Collected - Pending QA")</f>
        <v>5</v>
      </c>
      <c r="C9" s="5"/>
      <c r="D9" s="5"/>
      <c r="E9" s="5"/>
      <c r="F9" s="5"/>
      <c r="G9" s="5"/>
      <c r="H9" s="5"/>
      <c r="I9" s="5"/>
      <c r="J9" s="5"/>
      <c r="K9" s="5"/>
      <c r="L9" s="5"/>
      <c r="M9" s="5"/>
      <c r="N9" s="5"/>
      <c r="O9" s="5"/>
      <c r="P9" s="5"/>
      <c r="Q9" s="5"/>
      <c r="R9" s="5"/>
      <c r="S9" s="5"/>
      <c r="T9" s="5"/>
      <c r="U9" s="5"/>
      <c r="V9" s="5"/>
      <c r="W9" s="5"/>
      <c r="X9" s="5"/>
      <c r="Y9" s="5"/>
      <c r="Z9" s="5"/>
    </row>
    <row r="10">
      <c r="A10" s="125" t="s">
        <v>190</v>
      </c>
      <c r="B10" s="126">
        <f>COUNTIF('Supplier Master (India)'!AR2:AR108,"Verified")</f>
        <v>84</v>
      </c>
      <c r="C10" s="5"/>
      <c r="D10" s="5"/>
      <c r="E10" s="5"/>
      <c r="F10" s="5"/>
      <c r="G10" s="5"/>
      <c r="H10" s="5"/>
      <c r="I10" s="5"/>
      <c r="J10" s="5"/>
      <c r="K10" s="5"/>
      <c r="L10" s="5"/>
      <c r="M10" s="5"/>
      <c r="N10" s="5"/>
      <c r="O10" s="5"/>
      <c r="P10" s="5"/>
      <c r="Q10" s="5"/>
      <c r="R10" s="5"/>
      <c r="S10" s="5"/>
      <c r="T10" s="5"/>
      <c r="U10" s="5"/>
      <c r="V10" s="5"/>
      <c r="W10" s="5"/>
      <c r="X10" s="5"/>
      <c r="Y10" s="5"/>
      <c r="Z10" s="5"/>
    </row>
    <row r="11">
      <c r="A11" s="125" t="s">
        <v>237</v>
      </c>
      <c r="B11" s="126">
        <f>COUNTIF('Supplier Master (India)'!AR2:AR108,"Live")</f>
        <v>8</v>
      </c>
      <c r="C11" s="5"/>
      <c r="D11" s="5"/>
      <c r="E11" s="5"/>
      <c r="F11" s="5"/>
      <c r="G11" s="5"/>
      <c r="H11" s="5"/>
      <c r="I11" s="5"/>
      <c r="J11" s="5"/>
      <c r="K11" s="5"/>
      <c r="L11" s="5"/>
      <c r="M11" s="5"/>
      <c r="N11" s="5"/>
      <c r="O11" s="5"/>
      <c r="P11" s="5"/>
      <c r="Q11" s="5"/>
      <c r="R11" s="5"/>
      <c r="S11" s="5"/>
      <c r="T11" s="5"/>
      <c r="U11" s="5"/>
      <c r="V11" s="5"/>
      <c r="W11" s="5"/>
      <c r="X11" s="5"/>
      <c r="Y11" s="5"/>
      <c r="Z11" s="5"/>
    </row>
    <row r="12">
      <c r="A12" s="125"/>
      <c r="B12" s="5"/>
      <c r="C12" s="5"/>
      <c r="D12" s="5"/>
      <c r="E12" s="5"/>
      <c r="F12" s="5"/>
      <c r="G12" s="5"/>
      <c r="H12" s="5"/>
      <c r="I12" s="5"/>
      <c r="J12" s="5"/>
      <c r="K12" s="5"/>
      <c r="L12" s="5"/>
      <c r="M12" s="5"/>
      <c r="N12" s="5"/>
      <c r="O12" s="5"/>
      <c r="P12" s="5"/>
      <c r="Q12" s="5"/>
      <c r="R12" s="5"/>
      <c r="S12" s="5"/>
      <c r="T12" s="5"/>
      <c r="U12" s="5"/>
      <c r="V12" s="5"/>
      <c r="W12" s="5"/>
      <c r="X12" s="5"/>
      <c r="Y12" s="5"/>
      <c r="Z12" s="5"/>
    </row>
    <row r="13">
      <c r="A13" s="127" t="s">
        <v>1584</v>
      </c>
      <c r="B13" s="128">
        <f>(COUNTIF('Supplier Master (India)'!AR2:AR108,"Verified")+COUNTIF('Supplier Master (India)'!AR2:AR108,"Live"))/COUNTA('Supplier Master (India)'!AR2:AR108)</f>
        <v>0.8598130841</v>
      </c>
      <c r="C13" s="5"/>
      <c r="D13" s="5"/>
      <c r="E13" s="5"/>
      <c r="F13" s="5"/>
      <c r="G13" s="5"/>
      <c r="H13" s="5"/>
      <c r="I13" s="5"/>
      <c r="J13" s="5"/>
      <c r="K13" s="5"/>
      <c r="L13" s="5"/>
      <c r="M13" s="5"/>
      <c r="N13" s="5"/>
      <c r="O13" s="5"/>
      <c r="P13" s="5"/>
      <c r="Q13" s="5"/>
      <c r="R13" s="5"/>
      <c r="S13" s="5"/>
      <c r="T13" s="5"/>
      <c r="U13" s="5"/>
      <c r="V13" s="5"/>
      <c r="W13" s="5"/>
      <c r="X13" s="5"/>
      <c r="Y13" s="5"/>
      <c r="Z13" s="5"/>
    </row>
    <row r="14">
      <c r="A14" s="127" t="s">
        <v>1585</v>
      </c>
      <c r="B14" s="128">
        <f>SUMPRODUCT(('Supplier Master (India)'!A2:A108=1)*(('Supplier Master (India)'!AR2:AR108="Verified")+('Supplier Master (India)'!AR2:AR108="Live")))/COUNTIF('Supplier Master (India)'!A2:A108,1)</f>
        <v>0.8333333333</v>
      </c>
      <c r="C14" s="5"/>
      <c r="D14" s="5"/>
      <c r="E14" s="5"/>
      <c r="F14" s="5"/>
      <c r="G14" s="5"/>
      <c r="H14" s="5"/>
      <c r="I14" s="5"/>
      <c r="J14" s="5"/>
      <c r="K14" s="5"/>
      <c r="L14" s="5"/>
      <c r="M14" s="5"/>
      <c r="N14" s="5"/>
      <c r="O14" s="5"/>
      <c r="P14" s="5"/>
      <c r="Q14" s="5"/>
      <c r="R14" s="5"/>
      <c r="S14" s="5"/>
      <c r="T14" s="5"/>
      <c r="U14" s="5"/>
      <c r="V14" s="5"/>
      <c r="W14" s="5"/>
      <c r="X14" s="5"/>
      <c r="Y14" s="5"/>
      <c r="Z14" s="5"/>
    </row>
    <row r="15">
      <c r="A15" s="5"/>
      <c r="B15" s="5"/>
      <c r="C15" s="5"/>
      <c r="D15" s="5"/>
      <c r="E15" s="5"/>
      <c r="F15" s="5"/>
      <c r="G15" s="5"/>
      <c r="H15" s="5"/>
      <c r="I15" s="5"/>
      <c r="J15" s="5"/>
      <c r="K15" s="5"/>
      <c r="L15" s="5"/>
      <c r="M15" s="5"/>
      <c r="N15" s="5"/>
      <c r="O15" s="5"/>
      <c r="P15" s="5"/>
      <c r="Q15" s="5"/>
      <c r="R15" s="5"/>
      <c r="S15" s="5"/>
      <c r="T15" s="5"/>
      <c r="U15" s="5"/>
      <c r="V15" s="5"/>
      <c r="W15" s="5"/>
      <c r="X15" s="5"/>
      <c r="Y15" s="5"/>
      <c r="Z15" s="5"/>
    </row>
    <row r="16">
      <c r="A16" s="129" t="s">
        <v>1586</v>
      </c>
      <c r="B16" s="5"/>
      <c r="C16" s="5"/>
      <c r="D16" s="5"/>
      <c r="E16" s="5"/>
      <c r="F16" s="5"/>
      <c r="G16" s="5"/>
      <c r="H16" s="5"/>
      <c r="I16" s="5"/>
      <c r="J16" s="5"/>
      <c r="K16" s="5"/>
      <c r="L16" s="5"/>
      <c r="M16" s="5"/>
      <c r="N16" s="5"/>
      <c r="O16" s="5"/>
      <c r="P16" s="5"/>
      <c r="Q16" s="5"/>
      <c r="R16" s="5"/>
      <c r="S16" s="5"/>
      <c r="T16" s="5"/>
      <c r="U16" s="5"/>
      <c r="V16" s="5"/>
      <c r="W16" s="5"/>
      <c r="X16" s="5"/>
      <c r="Y16" s="5"/>
      <c r="Z16" s="5"/>
    </row>
    <row r="17">
      <c r="A17" s="130" t="s">
        <v>1587</v>
      </c>
      <c r="B17" s="130">
        <f>COUNTIF('Supplier Master (India)'!AS2:AS108,"Ankita D")</f>
        <v>99</v>
      </c>
      <c r="C17" s="5"/>
      <c r="D17" s="5"/>
      <c r="E17" s="5"/>
      <c r="F17" s="5"/>
      <c r="G17" s="5"/>
      <c r="H17" s="5"/>
      <c r="I17" s="5"/>
      <c r="J17" s="5"/>
      <c r="K17" s="5"/>
      <c r="L17" s="5"/>
      <c r="M17" s="5"/>
      <c r="N17" s="5"/>
      <c r="O17" s="5"/>
      <c r="P17" s="5"/>
      <c r="Q17" s="5"/>
      <c r="R17" s="5"/>
      <c r="S17" s="5"/>
      <c r="T17" s="5"/>
      <c r="U17" s="5"/>
      <c r="V17" s="5"/>
      <c r="W17" s="5"/>
      <c r="X17" s="5"/>
      <c r="Y17" s="5"/>
      <c r="Z17" s="5"/>
    </row>
    <row r="18">
      <c r="A18" s="130" t="s">
        <v>1588</v>
      </c>
      <c r="B18" s="130">
        <f>COUNTIF('Supplier Master (India)'!AS2:AS108,"Parul")</f>
        <v>0</v>
      </c>
      <c r="C18" s="5"/>
      <c r="D18" s="5"/>
      <c r="E18" s="5"/>
      <c r="F18" s="5"/>
      <c r="G18" s="5"/>
      <c r="H18" s="5"/>
      <c r="I18" s="5"/>
      <c r="J18" s="5"/>
      <c r="K18" s="5"/>
      <c r="L18" s="5"/>
      <c r="M18" s="5"/>
      <c r="N18" s="5"/>
      <c r="O18" s="5"/>
      <c r="P18" s="5"/>
      <c r="Q18" s="5"/>
      <c r="R18" s="5"/>
      <c r="S18" s="5"/>
      <c r="T18" s="5"/>
      <c r="U18" s="5"/>
      <c r="V18" s="5"/>
      <c r="W18" s="5"/>
      <c r="X18" s="5"/>
      <c r="Y18" s="5"/>
      <c r="Z18" s="5"/>
    </row>
    <row r="19">
      <c r="A19" s="130" t="s">
        <v>240</v>
      </c>
      <c r="B19" s="130">
        <f>COUNTIF('Supplier Master (India)'!AS2:AS108,"Already live")</f>
        <v>8</v>
      </c>
      <c r="C19" s="5"/>
      <c r="D19" s="5"/>
      <c r="E19" s="5"/>
      <c r="F19" s="5"/>
      <c r="G19" s="5"/>
      <c r="H19" s="5"/>
      <c r="I19" s="5"/>
      <c r="J19" s="5"/>
      <c r="K19" s="5"/>
      <c r="L19" s="5"/>
      <c r="M19" s="5"/>
      <c r="N19" s="5"/>
      <c r="O19" s="5"/>
      <c r="P19" s="5"/>
      <c r="Q19" s="5"/>
      <c r="R19" s="5"/>
      <c r="S19" s="5"/>
      <c r="T19" s="5"/>
      <c r="U19" s="5"/>
      <c r="V19" s="5"/>
      <c r="W19" s="5"/>
      <c r="X19" s="5"/>
      <c r="Y19" s="5"/>
      <c r="Z19" s="5"/>
    </row>
    <row r="20">
      <c r="A20" s="130" t="s">
        <v>1589</v>
      </c>
      <c r="B20" s="130">
        <f>COUNTIF('Supplier Master (India)'!AS2:AS108,"Tech Head")</f>
        <v>0</v>
      </c>
      <c r="C20" s="5"/>
      <c r="D20" s="5"/>
      <c r="E20" s="5"/>
      <c r="F20" s="5"/>
      <c r="G20" s="5"/>
      <c r="H20" s="5"/>
      <c r="I20" s="5"/>
      <c r="J20" s="5"/>
      <c r="K20" s="5"/>
      <c r="L20" s="5"/>
      <c r="M20" s="5"/>
      <c r="N20" s="5"/>
      <c r="O20" s="5"/>
      <c r="P20" s="5"/>
      <c r="Q20" s="5"/>
      <c r="R20" s="5"/>
      <c r="S20" s="5"/>
      <c r="T20" s="5"/>
      <c r="U20" s="5"/>
      <c r="V20" s="5"/>
      <c r="W20" s="5"/>
      <c r="X20" s="5"/>
      <c r="Y20" s="5"/>
      <c r="Z20" s="5"/>
    </row>
    <row r="21" ht="15.75" customHeight="1">
      <c r="A21" s="130" t="s">
        <v>1590</v>
      </c>
      <c r="B21" s="130">
        <f>COUNTIF('Supplier Master (India)'!AS2:AS108,"TBD")</f>
        <v>0</v>
      </c>
      <c r="C21" s="5"/>
      <c r="D21" s="5"/>
      <c r="E21" s="5"/>
      <c r="F21" s="5"/>
      <c r="G21" s="5"/>
      <c r="H21" s="5"/>
      <c r="I21" s="5"/>
      <c r="J21" s="5"/>
      <c r="K21" s="5"/>
      <c r="L21" s="5"/>
      <c r="M21" s="5"/>
      <c r="N21" s="5"/>
      <c r="O21" s="5"/>
      <c r="P21" s="5"/>
      <c r="Q21" s="5"/>
      <c r="R21" s="5"/>
      <c r="S21" s="5"/>
      <c r="T21" s="5"/>
      <c r="U21" s="5"/>
      <c r="V21" s="5"/>
      <c r="W21" s="5"/>
      <c r="X21" s="5"/>
      <c r="Y21" s="5"/>
      <c r="Z21" s="5"/>
    </row>
    <row r="22" ht="15.75" customHeight="1">
      <c r="A22" s="21" t="s">
        <v>1591</v>
      </c>
      <c r="B22" s="21">
        <f>COUNTA('Supplier Master (India)'!AS2:AS108)-COUNTIF('Supplier Master (India)'!AS2:AS108,"Already live")</f>
        <v>99</v>
      </c>
      <c r="C22" s="5"/>
      <c r="D22" s="5"/>
      <c r="E22" s="5"/>
      <c r="F22" s="5"/>
      <c r="G22" s="5"/>
      <c r="H22" s="5"/>
      <c r="I22" s="5"/>
      <c r="J22" s="5"/>
      <c r="K22" s="5"/>
      <c r="L22" s="5"/>
      <c r="M22" s="5"/>
      <c r="N22" s="5"/>
      <c r="O22" s="5"/>
      <c r="P22" s="5"/>
      <c r="Q22" s="5"/>
      <c r="R22" s="5"/>
      <c r="S22" s="5"/>
      <c r="T22" s="5"/>
      <c r="U22" s="5"/>
      <c r="V22" s="5"/>
      <c r="W22" s="5"/>
      <c r="X22" s="5"/>
      <c r="Y22" s="5"/>
      <c r="Z22" s="5"/>
    </row>
    <row r="23" ht="21.75" customHeight="1">
      <c r="A23" s="131" t="s">
        <v>1592</v>
      </c>
      <c r="D23" s="5"/>
      <c r="E23" s="5"/>
      <c r="F23" s="5"/>
      <c r="G23" s="5"/>
      <c r="H23" s="5"/>
      <c r="I23" s="5"/>
      <c r="J23" s="5"/>
      <c r="K23" s="5"/>
      <c r="L23" s="5"/>
      <c r="M23" s="5"/>
      <c r="N23" s="5"/>
      <c r="O23" s="5"/>
      <c r="P23" s="5"/>
      <c r="Q23" s="5"/>
      <c r="R23" s="5"/>
      <c r="S23" s="5"/>
      <c r="T23" s="5"/>
      <c r="U23" s="5"/>
      <c r="V23" s="5"/>
      <c r="W23" s="5"/>
      <c r="X23" s="5"/>
      <c r="Y23" s="5"/>
      <c r="Z23" s="5"/>
    </row>
    <row r="24" ht="15.75" customHeight="1">
      <c r="A24" s="5"/>
      <c r="B24" s="5"/>
      <c r="C24" s="5"/>
      <c r="D24" s="5"/>
      <c r="E24" s="5"/>
      <c r="F24" s="5"/>
      <c r="G24" s="5"/>
      <c r="H24" s="5"/>
      <c r="I24" s="5"/>
      <c r="J24" s="5"/>
      <c r="K24" s="5"/>
      <c r="L24" s="5"/>
      <c r="M24" s="5"/>
      <c r="N24" s="5"/>
      <c r="O24" s="5"/>
      <c r="P24" s="5"/>
      <c r="Q24" s="5"/>
      <c r="R24" s="5"/>
      <c r="S24" s="5"/>
      <c r="T24" s="5"/>
      <c r="U24" s="5"/>
      <c r="V24" s="5"/>
      <c r="W24" s="5"/>
      <c r="X24" s="5"/>
      <c r="Y24" s="5"/>
      <c r="Z24" s="5"/>
    </row>
    <row r="25" ht="15.75" customHeight="1">
      <c r="A25" s="5"/>
      <c r="B25" s="5"/>
      <c r="C25" s="5"/>
      <c r="D25" s="5"/>
      <c r="E25" s="5"/>
      <c r="F25" s="5"/>
      <c r="G25" s="5"/>
      <c r="H25" s="5"/>
      <c r="I25" s="5"/>
      <c r="J25" s="5"/>
      <c r="K25" s="5"/>
      <c r="L25" s="5"/>
      <c r="M25" s="5"/>
      <c r="N25" s="5"/>
      <c r="O25" s="5"/>
      <c r="P25" s="5"/>
      <c r="Q25" s="5"/>
      <c r="R25" s="5"/>
      <c r="S25" s="5"/>
      <c r="T25" s="5"/>
      <c r="U25" s="5"/>
      <c r="V25" s="5"/>
      <c r="W25" s="5"/>
      <c r="X25" s="5"/>
      <c r="Y25" s="5"/>
      <c r="Z25" s="5"/>
    </row>
    <row r="26" ht="15.75" customHeight="1">
      <c r="A26" s="5"/>
      <c r="B26" s="5"/>
      <c r="C26" s="5"/>
      <c r="D26" s="5"/>
      <c r="E26" s="5"/>
      <c r="F26" s="5"/>
      <c r="G26" s="5"/>
      <c r="H26" s="5"/>
      <c r="I26" s="5"/>
      <c r="J26" s="5"/>
      <c r="K26" s="5"/>
      <c r="L26" s="5"/>
      <c r="M26" s="5"/>
      <c r="N26" s="5"/>
      <c r="O26" s="5"/>
      <c r="P26" s="5"/>
      <c r="Q26" s="5"/>
      <c r="R26" s="5"/>
      <c r="S26" s="5"/>
      <c r="T26" s="5"/>
      <c r="U26" s="5"/>
      <c r="V26" s="5"/>
      <c r="W26" s="5"/>
      <c r="X26" s="5"/>
      <c r="Y26" s="5"/>
      <c r="Z26" s="5"/>
    </row>
    <row r="27" ht="15.75" customHeight="1">
      <c r="A27" s="5"/>
      <c r="B27" s="5"/>
      <c r="C27" s="5"/>
      <c r="D27" s="5"/>
      <c r="E27" s="5"/>
      <c r="F27" s="5"/>
      <c r="G27" s="5"/>
      <c r="H27" s="5"/>
      <c r="I27" s="5"/>
      <c r="J27" s="5"/>
      <c r="K27" s="5"/>
      <c r="L27" s="5"/>
      <c r="M27" s="5"/>
      <c r="N27" s="5"/>
      <c r="O27" s="5"/>
      <c r="P27" s="5"/>
      <c r="Q27" s="5"/>
      <c r="R27" s="5"/>
      <c r="S27" s="5"/>
      <c r="T27" s="5"/>
      <c r="U27" s="5"/>
      <c r="V27" s="5"/>
      <c r="W27" s="5"/>
      <c r="X27" s="5"/>
      <c r="Y27" s="5"/>
      <c r="Z27" s="5"/>
    </row>
    <row r="28" ht="15.75" customHeight="1">
      <c r="A28" s="5"/>
      <c r="B28" s="5"/>
      <c r="C28" s="5"/>
      <c r="D28" s="5"/>
      <c r="E28" s="5"/>
      <c r="F28" s="5"/>
      <c r="G28" s="5"/>
      <c r="H28" s="5"/>
      <c r="I28" s="5"/>
      <c r="J28" s="5"/>
      <c r="K28" s="5"/>
      <c r="L28" s="5"/>
      <c r="M28" s="5"/>
      <c r="N28" s="5"/>
      <c r="O28" s="5"/>
      <c r="P28" s="5"/>
      <c r="Q28" s="5"/>
      <c r="R28" s="5"/>
      <c r="S28" s="5"/>
      <c r="T28" s="5"/>
      <c r="U28" s="5"/>
      <c r="V28" s="5"/>
      <c r="W28" s="5"/>
      <c r="X28" s="5"/>
      <c r="Y28" s="5"/>
      <c r="Z28" s="5"/>
    </row>
    <row r="29" ht="15.75" customHeight="1">
      <c r="A29" s="5"/>
      <c r="B29" s="5"/>
      <c r="C29" s="5"/>
      <c r="D29" s="5"/>
      <c r="E29" s="5"/>
      <c r="F29" s="5"/>
      <c r="G29" s="5"/>
      <c r="H29" s="5"/>
      <c r="I29" s="5"/>
      <c r="J29" s="5"/>
      <c r="K29" s="5"/>
      <c r="L29" s="5"/>
      <c r="M29" s="5"/>
      <c r="N29" s="5"/>
      <c r="O29" s="5"/>
      <c r="P29" s="5"/>
      <c r="Q29" s="5"/>
      <c r="R29" s="5"/>
      <c r="S29" s="5"/>
      <c r="T29" s="5"/>
      <c r="U29" s="5"/>
      <c r="V29" s="5"/>
      <c r="W29" s="5"/>
      <c r="X29" s="5"/>
      <c r="Y29" s="5"/>
      <c r="Z29" s="5"/>
    </row>
    <row r="30" ht="15.75" customHeight="1">
      <c r="A30" s="5"/>
      <c r="B30" s="5"/>
      <c r="C30" s="5"/>
      <c r="D30" s="5"/>
      <c r="E30" s="5"/>
      <c r="F30" s="5"/>
      <c r="G30" s="5"/>
      <c r="H30" s="5"/>
      <c r="I30" s="5"/>
      <c r="J30" s="5"/>
      <c r="K30" s="5"/>
      <c r="L30" s="5"/>
      <c r="M30" s="5"/>
      <c r="N30" s="5"/>
      <c r="O30" s="5"/>
      <c r="P30" s="5"/>
      <c r="Q30" s="5"/>
      <c r="R30" s="5"/>
      <c r="S30" s="5"/>
      <c r="T30" s="5"/>
      <c r="U30" s="5"/>
      <c r="V30" s="5"/>
      <c r="W30" s="5"/>
      <c r="X30" s="5"/>
      <c r="Y30" s="5"/>
      <c r="Z30" s="5"/>
    </row>
    <row r="31" ht="15.75" customHeight="1">
      <c r="A31" s="5"/>
      <c r="B31" s="5"/>
      <c r="C31" s="5"/>
      <c r="D31" s="5"/>
      <c r="E31" s="5"/>
      <c r="F31" s="5"/>
      <c r="G31" s="5"/>
      <c r="H31" s="5"/>
      <c r="I31" s="5"/>
      <c r="J31" s="5"/>
      <c r="K31" s="5"/>
      <c r="L31" s="5"/>
      <c r="M31" s="5"/>
      <c r="N31" s="5"/>
      <c r="O31" s="5"/>
      <c r="P31" s="5"/>
      <c r="Q31" s="5"/>
      <c r="R31" s="5"/>
      <c r="S31" s="5"/>
      <c r="T31" s="5"/>
      <c r="U31" s="5"/>
      <c r="V31" s="5"/>
      <c r="W31" s="5"/>
      <c r="X31" s="5"/>
      <c r="Y31" s="5"/>
      <c r="Z31" s="5"/>
    </row>
    <row r="32" ht="15.75" customHeight="1">
      <c r="A32" s="5"/>
      <c r="B32" s="5"/>
      <c r="C32" s="5"/>
      <c r="D32" s="5"/>
      <c r="E32" s="5"/>
      <c r="F32" s="5"/>
      <c r="G32" s="5"/>
      <c r="H32" s="5"/>
      <c r="I32" s="5"/>
      <c r="J32" s="5"/>
      <c r="K32" s="5"/>
      <c r="L32" s="5"/>
      <c r="M32" s="5"/>
      <c r="N32" s="5"/>
      <c r="O32" s="5"/>
      <c r="P32" s="5"/>
      <c r="Q32" s="5"/>
      <c r="R32" s="5"/>
      <c r="S32" s="5"/>
      <c r="T32" s="5"/>
      <c r="U32" s="5"/>
      <c r="V32" s="5"/>
      <c r="W32" s="5"/>
      <c r="X32" s="5"/>
      <c r="Y32" s="5"/>
      <c r="Z32" s="5"/>
    </row>
    <row r="33" ht="15.75" customHeight="1">
      <c r="A33" s="5"/>
      <c r="B33" s="5"/>
      <c r="C33" s="5"/>
      <c r="D33" s="5"/>
      <c r="E33" s="5"/>
      <c r="F33" s="5"/>
      <c r="G33" s="5"/>
      <c r="H33" s="5"/>
      <c r="I33" s="5"/>
      <c r="J33" s="5"/>
      <c r="K33" s="5"/>
      <c r="L33" s="5"/>
      <c r="M33" s="5"/>
      <c r="N33" s="5"/>
      <c r="O33" s="5"/>
      <c r="P33" s="5"/>
      <c r="Q33" s="5"/>
      <c r="R33" s="5"/>
      <c r="S33" s="5"/>
      <c r="T33" s="5"/>
      <c r="U33" s="5"/>
      <c r="V33" s="5"/>
      <c r="W33" s="5"/>
      <c r="X33" s="5"/>
      <c r="Y33" s="5"/>
      <c r="Z33" s="5"/>
    </row>
    <row r="34" ht="15.75" customHeight="1">
      <c r="A34" s="5"/>
      <c r="B34" s="5"/>
      <c r="C34" s="5"/>
      <c r="D34" s="5"/>
      <c r="E34" s="5"/>
      <c r="F34" s="5"/>
      <c r="G34" s="5"/>
      <c r="H34" s="5"/>
      <c r="I34" s="5"/>
      <c r="J34" s="5"/>
      <c r="K34" s="5"/>
      <c r="L34" s="5"/>
      <c r="M34" s="5"/>
      <c r="N34" s="5"/>
      <c r="O34" s="5"/>
      <c r="P34" s="5"/>
      <c r="Q34" s="5"/>
      <c r="R34" s="5"/>
      <c r="S34" s="5"/>
      <c r="T34" s="5"/>
      <c r="U34" s="5"/>
      <c r="V34" s="5"/>
      <c r="W34" s="5"/>
      <c r="X34" s="5"/>
      <c r="Y34" s="5"/>
      <c r="Z34" s="5"/>
    </row>
    <row r="35" ht="15.75" customHeight="1">
      <c r="A35" s="5"/>
      <c r="B35" s="5"/>
      <c r="C35" s="5"/>
      <c r="D35" s="5"/>
      <c r="E35" s="5"/>
      <c r="F35" s="5"/>
      <c r="G35" s="5"/>
      <c r="H35" s="5"/>
      <c r="I35" s="5"/>
      <c r="J35" s="5"/>
      <c r="K35" s="5"/>
      <c r="L35" s="5"/>
      <c r="M35" s="5"/>
      <c r="N35" s="5"/>
      <c r="O35" s="5"/>
      <c r="P35" s="5"/>
      <c r="Q35" s="5"/>
      <c r="R35" s="5"/>
      <c r="S35" s="5"/>
      <c r="T35" s="5"/>
      <c r="U35" s="5"/>
      <c r="V35" s="5"/>
      <c r="W35" s="5"/>
      <c r="X35" s="5"/>
      <c r="Y35" s="5"/>
      <c r="Z35" s="5"/>
    </row>
    <row r="36" ht="15.75" customHeight="1">
      <c r="A36" s="5"/>
      <c r="B36" s="5"/>
      <c r="C36" s="5"/>
      <c r="D36" s="5"/>
      <c r="E36" s="5"/>
      <c r="F36" s="5"/>
      <c r="G36" s="5"/>
      <c r="H36" s="5"/>
      <c r="I36" s="5"/>
      <c r="J36" s="5"/>
      <c r="K36" s="5"/>
      <c r="L36" s="5"/>
      <c r="M36" s="5"/>
      <c r="N36" s="5"/>
      <c r="O36" s="5"/>
      <c r="P36" s="5"/>
      <c r="Q36" s="5"/>
      <c r="R36" s="5"/>
      <c r="S36" s="5"/>
      <c r="T36" s="5"/>
      <c r="U36" s="5"/>
      <c r="V36" s="5"/>
      <c r="W36" s="5"/>
      <c r="X36" s="5"/>
      <c r="Y36" s="5"/>
      <c r="Z36" s="5"/>
    </row>
    <row r="37" ht="15.75" customHeight="1">
      <c r="A37" s="5"/>
      <c r="B37" s="5"/>
      <c r="C37" s="5"/>
      <c r="D37" s="5"/>
      <c r="E37" s="5"/>
      <c r="F37" s="5"/>
      <c r="G37" s="5"/>
      <c r="H37" s="5"/>
      <c r="I37" s="5"/>
      <c r="J37" s="5"/>
      <c r="K37" s="5"/>
      <c r="L37" s="5"/>
      <c r="M37" s="5"/>
      <c r="N37" s="5"/>
      <c r="O37" s="5"/>
      <c r="P37" s="5"/>
      <c r="Q37" s="5"/>
      <c r="R37" s="5"/>
      <c r="S37" s="5"/>
      <c r="T37" s="5"/>
      <c r="U37" s="5"/>
      <c r="V37" s="5"/>
      <c r="W37" s="5"/>
      <c r="X37" s="5"/>
      <c r="Y37" s="5"/>
      <c r="Z37" s="5"/>
    </row>
    <row r="38" ht="15.75" customHeight="1">
      <c r="A38" s="5"/>
      <c r="B38" s="5"/>
      <c r="C38" s="5"/>
      <c r="D38" s="5"/>
      <c r="E38" s="5"/>
      <c r="F38" s="5"/>
      <c r="G38" s="5"/>
      <c r="H38" s="5"/>
      <c r="I38" s="5"/>
      <c r="J38" s="5"/>
      <c r="K38" s="5"/>
      <c r="L38" s="5"/>
      <c r="M38" s="5"/>
      <c r="N38" s="5"/>
      <c r="O38" s="5"/>
      <c r="P38" s="5"/>
      <c r="Q38" s="5"/>
      <c r="R38" s="5"/>
      <c r="S38" s="5"/>
      <c r="T38" s="5"/>
      <c r="U38" s="5"/>
      <c r="V38" s="5"/>
      <c r="W38" s="5"/>
      <c r="X38" s="5"/>
      <c r="Y38" s="5"/>
      <c r="Z38" s="5"/>
    </row>
    <row r="39" ht="15.75" customHeight="1">
      <c r="A39" s="5"/>
      <c r="B39" s="5"/>
      <c r="C39" s="5"/>
      <c r="D39" s="5"/>
      <c r="E39" s="5"/>
      <c r="F39" s="5"/>
      <c r="G39" s="5"/>
      <c r="H39" s="5"/>
      <c r="I39" s="5"/>
      <c r="J39" s="5"/>
      <c r="K39" s="5"/>
      <c r="L39" s="5"/>
      <c r="M39" s="5"/>
      <c r="N39" s="5"/>
      <c r="O39" s="5"/>
      <c r="P39" s="5"/>
      <c r="Q39" s="5"/>
      <c r="R39" s="5"/>
      <c r="S39" s="5"/>
      <c r="T39" s="5"/>
      <c r="U39" s="5"/>
      <c r="V39" s="5"/>
      <c r="W39" s="5"/>
      <c r="X39" s="5"/>
      <c r="Y39" s="5"/>
      <c r="Z39" s="5"/>
    </row>
    <row r="40" ht="15.75" customHeight="1">
      <c r="A40" s="5"/>
      <c r="B40" s="5"/>
      <c r="C40" s="5"/>
      <c r="D40" s="5"/>
      <c r="E40" s="5"/>
      <c r="F40" s="5"/>
      <c r="G40" s="5"/>
      <c r="H40" s="5"/>
      <c r="I40" s="5"/>
      <c r="J40" s="5"/>
      <c r="K40" s="5"/>
      <c r="L40" s="5"/>
      <c r="M40" s="5"/>
      <c r="N40" s="5"/>
      <c r="O40" s="5"/>
      <c r="P40" s="5"/>
      <c r="Q40" s="5"/>
      <c r="R40" s="5"/>
      <c r="S40" s="5"/>
      <c r="T40" s="5"/>
      <c r="U40" s="5"/>
      <c r="V40" s="5"/>
      <c r="W40" s="5"/>
      <c r="X40" s="5"/>
      <c r="Y40" s="5"/>
      <c r="Z40" s="5"/>
    </row>
    <row r="41" ht="15.75" customHeight="1">
      <c r="A41" s="5"/>
      <c r="B41" s="5"/>
      <c r="C41" s="5"/>
      <c r="D41" s="5"/>
      <c r="E41" s="5"/>
      <c r="F41" s="5"/>
      <c r="G41" s="5"/>
      <c r="H41" s="5"/>
      <c r="I41" s="5"/>
      <c r="J41" s="5"/>
      <c r="K41" s="5"/>
      <c r="L41" s="5"/>
      <c r="M41" s="5"/>
      <c r="N41" s="5"/>
      <c r="O41" s="5"/>
      <c r="P41" s="5"/>
      <c r="Q41" s="5"/>
      <c r="R41" s="5"/>
      <c r="S41" s="5"/>
      <c r="T41" s="5"/>
      <c r="U41" s="5"/>
      <c r="V41" s="5"/>
      <c r="W41" s="5"/>
      <c r="X41" s="5"/>
      <c r="Y41" s="5"/>
      <c r="Z41" s="5"/>
    </row>
    <row r="42" ht="15.75" customHeight="1">
      <c r="A42" s="5"/>
      <c r="B42" s="5"/>
      <c r="C42" s="5"/>
      <c r="D42" s="5"/>
      <c r="E42" s="5"/>
      <c r="F42" s="5"/>
      <c r="G42" s="5"/>
      <c r="H42" s="5"/>
      <c r="I42" s="5"/>
      <c r="J42" s="5"/>
      <c r="K42" s="5"/>
      <c r="L42" s="5"/>
      <c r="M42" s="5"/>
      <c r="N42" s="5"/>
      <c r="O42" s="5"/>
      <c r="P42" s="5"/>
      <c r="Q42" s="5"/>
      <c r="R42" s="5"/>
      <c r="S42" s="5"/>
      <c r="T42" s="5"/>
      <c r="U42" s="5"/>
      <c r="V42" s="5"/>
      <c r="W42" s="5"/>
      <c r="X42" s="5"/>
      <c r="Y42" s="5"/>
      <c r="Z42" s="5"/>
    </row>
    <row r="43" ht="15.75" customHeight="1">
      <c r="A43" s="5"/>
      <c r="B43" s="5"/>
      <c r="C43" s="5"/>
      <c r="D43" s="5"/>
      <c r="E43" s="5"/>
      <c r="F43" s="5"/>
      <c r="G43" s="5"/>
      <c r="H43" s="5"/>
      <c r="I43" s="5"/>
      <c r="J43" s="5"/>
      <c r="K43" s="5"/>
      <c r="L43" s="5"/>
      <c r="M43" s="5"/>
      <c r="N43" s="5"/>
      <c r="O43" s="5"/>
      <c r="P43" s="5"/>
      <c r="Q43" s="5"/>
      <c r="R43" s="5"/>
      <c r="S43" s="5"/>
      <c r="T43" s="5"/>
      <c r="U43" s="5"/>
      <c r="V43" s="5"/>
      <c r="W43" s="5"/>
      <c r="X43" s="5"/>
      <c r="Y43" s="5"/>
      <c r="Z43" s="5"/>
    </row>
    <row r="44" ht="15.75" customHeight="1">
      <c r="A44" s="5"/>
      <c r="B44" s="5"/>
      <c r="C44" s="5"/>
      <c r="D44" s="5"/>
      <c r="E44" s="5"/>
      <c r="F44" s="5"/>
      <c r="G44" s="5"/>
      <c r="H44" s="5"/>
      <c r="I44" s="5"/>
      <c r="J44" s="5"/>
      <c r="K44" s="5"/>
      <c r="L44" s="5"/>
      <c r="M44" s="5"/>
      <c r="N44" s="5"/>
      <c r="O44" s="5"/>
      <c r="P44" s="5"/>
      <c r="Q44" s="5"/>
      <c r="R44" s="5"/>
      <c r="S44" s="5"/>
      <c r="T44" s="5"/>
      <c r="U44" s="5"/>
      <c r="V44" s="5"/>
      <c r="W44" s="5"/>
      <c r="X44" s="5"/>
      <c r="Y44" s="5"/>
      <c r="Z44" s="5"/>
    </row>
    <row r="45" ht="15.75" customHeight="1">
      <c r="A45" s="5"/>
      <c r="B45" s="5"/>
      <c r="C45" s="5"/>
      <c r="D45" s="5"/>
      <c r="E45" s="5"/>
      <c r="F45" s="5"/>
      <c r="G45" s="5"/>
      <c r="H45" s="5"/>
      <c r="I45" s="5"/>
      <c r="J45" s="5"/>
      <c r="K45" s="5"/>
      <c r="L45" s="5"/>
      <c r="M45" s="5"/>
      <c r="N45" s="5"/>
      <c r="O45" s="5"/>
      <c r="P45" s="5"/>
      <c r="Q45" s="5"/>
      <c r="R45" s="5"/>
      <c r="S45" s="5"/>
      <c r="T45" s="5"/>
      <c r="U45" s="5"/>
      <c r="V45" s="5"/>
      <c r="W45" s="5"/>
      <c r="X45" s="5"/>
      <c r="Y45" s="5"/>
      <c r="Z45" s="5"/>
    </row>
    <row r="46" ht="15.75" customHeight="1">
      <c r="A46" s="5"/>
      <c r="B46" s="5"/>
      <c r="C46" s="5"/>
      <c r="D46" s="5"/>
      <c r="E46" s="5"/>
      <c r="F46" s="5"/>
      <c r="G46" s="5"/>
      <c r="H46" s="5"/>
      <c r="I46" s="5"/>
      <c r="J46" s="5"/>
      <c r="K46" s="5"/>
      <c r="L46" s="5"/>
      <c r="M46" s="5"/>
      <c r="N46" s="5"/>
      <c r="O46" s="5"/>
      <c r="P46" s="5"/>
      <c r="Q46" s="5"/>
      <c r="R46" s="5"/>
      <c r="S46" s="5"/>
      <c r="T46" s="5"/>
      <c r="U46" s="5"/>
      <c r="V46" s="5"/>
      <c r="W46" s="5"/>
      <c r="X46" s="5"/>
      <c r="Y46" s="5"/>
      <c r="Z46" s="5"/>
    </row>
    <row r="47" ht="15.75" customHeight="1">
      <c r="A47" s="5"/>
      <c r="B47" s="5"/>
      <c r="C47" s="5"/>
      <c r="D47" s="5"/>
      <c r="E47" s="5"/>
      <c r="F47" s="5"/>
      <c r="G47" s="5"/>
      <c r="H47" s="5"/>
      <c r="I47" s="5"/>
      <c r="J47" s="5"/>
      <c r="K47" s="5"/>
      <c r="L47" s="5"/>
      <c r="M47" s="5"/>
      <c r="N47" s="5"/>
      <c r="O47" s="5"/>
      <c r="P47" s="5"/>
      <c r="Q47" s="5"/>
      <c r="R47" s="5"/>
      <c r="S47" s="5"/>
      <c r="T47" s="5"/>
      <c r="U47" s="5"/>
      <c r="V47" s="5"/>
      <c r="W47" s="5"/>
      <c r="X47" s="5"/>
      <c r="Y47" s="5"/>
      <c r="Z47" s="5"/>
    </row>
    <row r="48" ht="15.75" customHeight="1">
      <c r="A48" s="5"/>
      <c r="B48" s="5"/>
      <c r="C48" s="5"/>
      <c r="D48" s="5"/>
      <c r="E48" s="5"/>
      <c r="F48" s="5"/>
      <c r="G48" s="5"/>
      <c r="H48" s="5"/>
      <c r="I48" s="5"/>
      <c r="J48" s="5"/>
      <c r="K48" s="5"/>
      <c r="L48" s="5"/>
      <c r="M48" s="5"/>
      <c r="N48" s="5"/>
      <c r="O48" s="5"/>
      <c r="P48" s="5"/>
      <c r="Q48" s="5"/>
      <c r="R48" s="5"/>
      <c r="S48" s="5"/>
      <c r="T48" s="5"/>
      <c r="U48" s="5"/>
      <c r="V48" s="5"/>
      <c r="W48" s="5"/>
      <c r="X48" s="5"/>
      <c r="Y48" s="5"/>
      <c r="Z48" s="5"/>
    </row>
    <row r="49" ht="15.75" customHeight="1">
      <c r="A49" s="5"/>
      <c r="B49" s="5"/>
      <c r="C49" s="5"/>
      <c r="D49" s="5"/>
      <c r="E49" s="5"/>
      <c r="F49" s="5"/>
      <c r="G49" s="5"/>
      <c r="H49" s="5"/>
      <c r="I49" s="5"/>
      <c r="J49" s="5"/>
      <c r="K49" s="5"/>
      <c r="L49" s="5"/>
      <c r="M49" s="5"/>
      <c r="N49" s="5"/>
      <c r="O49" s="5"/>
      <c r="P49" s="5"/>
      <c r="Q49" s="5"/>
      <c r="R49" s="5"/>
      <c r="S49" s="5"/>
      <c r="T49" s="5"/>
      <c r="U49" s="5"/>
      <c r="V49" s="5"/>
      <c r="W49" s="5"/>
      <c r="X49" s="5"/>
      <c r="Y49" s="5"/>
      <c r="Z49" s="5"/>
    </row>
    <row r="50" ht="15.75" customHeight="1">
      <c r="A50" s="5"/>
      <c r="B50" s="5"/>
      <c r="C50" s="5"/>
      <c r="D50" s="5"/>
      <c r="E50" s="5"/>
      <c r="F50" s="5"/>
      <c r="G50" s="5"/>
      <c r="H50" s="5"/>
      <c r="I50" s="5"/>
      <c r="J50" s="5"/>
      <c r="K50" s="5"/>
      <c r="L50" s="5"/>
      <c r="M50" s="5"/>
      <c r="N50" s="5"/>
      <c r="O50" s="5"/>
      <c r="P50" s="5"/>
      <c r="Q50" s="5"/>
      <c r="R50" s="5"/>
      <c r="S50" s="5"/>
      <c r="T50" s="5"/>
      <c r="U50" s="5"/>
      <c r="V50" s="5"/>
      <c r="W50" s="5"/>
      <c r="X50" s="5"/>
      <c r="Y50" s="5"/>
      <c r="Z50" s="5"/>
    </row>
    <row r="51" ht="15.75" customHeight="1">
      <c r="A51" s="5"/>
      <c r="B51" s="5"/>
      <c r="C51" s="5"/>
      <c r="D51" s="5"/>
      <c r="E51" s="5"/>
      <c r="F51" s="5"/>
      <c r="G51" s="5"/>
      <c r="H51" s="5"/>
      <c r="I51" s="5"/>
      <c r="J51" s="5"/>
      <c r="K51" s="5"/>
      <c r="L51" s="5"/>
      <c r="M51" s="5"/>
      <c r="N51" s="5"/>
      <c r="O51" s="5"/>
      <c r="P51" s="5"/>
      <c r="Q51" s="5"/>
      <c r="R51" s="5"/>
      <c r="S51" s="5"/>
      <c r="T51" s="5"/>
      <c r="U51" s="5"/>
      <c r="V51" s="5"/>
      <c r="W51" s="5"/>
      <c r="X51" s="5"/>
      <c r="Y51" s="5"/>
      <c r="Z51" s="5"/>
    </row>
    <row r="52" ht="15.75" customHeight="1">
      <c r="A52" s="5"/>
      <c r="B52" s="5"/>
      <c r="C52" s="5"/>
      <c r="D52" s="5"/>
      <c r="E52" s="5"/>
      <c r="F52" s="5"/>
      <c r="G52" s="5"/>
      <c r="H52" s="5"/>
      <c r="I52" s="5"/>
      <c r="J52" s="5"/>
      <c r="K52" s="5"/>
      <c r="L52" s="5"/>
      <c r="M52" s="5"/>
      <c r="N52" s="5"/>
      <c r="O52" s="5"/>
      <c r="P52" s="5"/>
      <c r="Q52" s="5"/>
      <c r="R52" s="5"/>
      <c r="S52" s="5"/>
      <c r="T52" s="5"/>
      <c r="U52" s="5"/>
      <c r="V52" s="5"/>
      <c r="W52" s="5"/>
      <c r="X52" s="5"/>
      <c r="Y52" s="5"/>
      <c r="Z52" s="5"/>
    </row>
    <row r="53" ht="15.75" customHeight="1">
      <c r="A53" s="5"/>
      <c r="B53" s="5"/>
      <c r="C53" s="5"/>
      <c r="D53" s="5"/>
      <c r="E53" s="5"/>
      <c r="F53" s="5"/>
      <c r="G53" s="5"/>
      <c r="H53" s="5"/>
      <c r="I53" s="5"/>
      <c r="J53" s="5"/>
      <c r="K53" s="5"/>
      <c r="L53" s="5"/>
      <c r="M53" s="5"/>
      <c r="N53" s="5"/>
      <c r="O53" s="5"/>
      <c r="P53" s="5"/>
      <c r="Q53" s="5"/>
      <c r="R53" s="5"/>
      <c r="S53" s="5"/>
      <c r="T53" s="5"/>
      <c r="U53" s="5"/>
      <c r="V53" s="5"/>
      <c r="W53" s="5"/>
      <c r="X53" s="5"/>
      <c r="Y53" s="5"/>
      <c r="Z53" s="5"/>
    </row>
    <row r="54" ht="15.75" customHeight="1">
      <c r="A54" s="5"/>
      <c r="B54" s="5"/>
      <c r="C54" s="5"/>
      <c r="D54" s="5"/>
      <c r="E54" s="5"/>
      <c r="F54" s="5"/>
      <c r="G54" s="5"/>
      <c r="H54" s="5"/>
      <c r="I54" s="5"/>
      <c r="J54" s="5"/>
      <c r="K54" s="5"/>
      <c r="L54" s="5"/>
      <c r="M54" s="5"/>
      <c r="N54" s="5"/>
      <c r="O54" s="5"/>
      <c r="P54" s="5"/>
      <c r="Q54" s="5"/>
      <c r="R54" s="5"/>
      <c r="S54" s="5"/>
      <c r="T54" s="5"/>
      <c r="U54" s="5"/>
      <c r="V54" s="5"/>
      <c r="W54" s="5"/>
      <c r="X54" s="5"/>
      <c r="Y54" s="5"/>
      <c r="Z54" s="5"/>
    </row>
    <row r="55" ht="15.75" customHeight="1">
      <c r="A55" s="5"/>
      <c r="B55" s="5"/>
      <c r="C55" s="5"/>
      <c r="D55" s="5"/>
      <c r="E55" s="5"/>
      <c r="F55" s="5"/>
      <c r="G55" s="5"/>
      <c r="H55" s="5"/>
      <c r="I55" s="5"/>
      <c r="J55" s="5"/>
      <c r="K55" s="5"/>
      <c r="L55" s="5"/>
      <c r="M55" s="5"/>
      <c r="N55" s="5"/>
      <c r="O55" s="5"/>
      <c r="P55" s="5"/>
      <c r="Q55" s="5"/>
      <c r="R55" s="5"/>
      <c r="S55" s="5"/>
      <c r="T55" s="5"/>
      <c r="U55" s="5"/>
      <c r="V55" s="5"/>
      <c r="W55" s="5"/>
      <c r="X55" s="5"/>
      <c r="Y55" s="5"/>
      <c r="Z55" s="5"/>
    </row>
    <row r="56" ht="15.75" customHeight="1">
      <c r="A56" s="5"/>
      <c r="B56" s="5"/>
      <c r="C56" s="5"/>
      <c r="D56" s="5"/>
      <c r="E56" s="5"/>
      <c r="F56" s="5"/>
      <c r="G56" s="5"/>
      <c r="H56" s="5"/>
      <c r="I56" s="5"/>
      <c r="J56" s="5"/>
      <c r="K56" s="5"/>
      <c r="L56" s="5"/>
      <c r="M56" s="5"/>
      <c r="N56" s="5"/>
      <c r="O56" s="5"/>
      <c r="P56" s="5"/>
      <c r="Q56" s="5"/>
      <c r="R56" s="5"/>
      <c r="S56" s="5"/>
      <c r="T56" s="5"/>
      <c r="U56" s="5"/>
      <c r="V56" s="5"/>
      <c r="W56" s="5"/>
      <c r="X56" s="5"/>
      <c r="Y56" s="5"/>
      <c r="Z56" s="5"/>
    </row>
    <row r="57" ht="15.75" customHeight="1">
      <c r="A57" s="5"/>
      <c r="B57" s="5"/>
      <c r="C57" s="5"/>
      <c r="D57" s="5"/>
      <c r="E57" s="5"/>
      <c r="F57" s="5"/>
      <c r="G57" s="5"/>
      <c r="H57" s="5"/>
      <c r="I57" s="5"/>
      <c r="J57" s="5"/>
      <c r="K57" s="5"/>
      <c r="L57" s="5"/>
      <c r="M57" s="5"/>
      <c r="N57" s="5"/>
      <c r="O57" s="5"/>
      <c r="P57" s="5"/>
      <c r="Q57" s="5"/>
      <c r="R57" s="5"/>
      <c r="S57" s="5"/>
      <c r="T57" s="5"/>
      <c r="U57" s="5"/>
      <c r="V57" s="5"/>
      <c r="W57" s="5"/>
      <c r="X57" s="5"/>
      <c r="Y57" s="5"/>
      <c r="Z57" s="5"/>
    </row>
    <row r="58" ht="15.75" customHeight="1">
      <c r="A58" s="5"/>
      <c r="B58" s="5"/>
      <c r="C58" s="5"/>
      <c r="D58" s="5"/>
      <c r="E58" s="5"/>
      <c r="F58" s="5"/>
      <c r="G58" s="5"/>
      <c r="H58" s="5"/>
      <c r="I58" s="5"/>
      <c r="J58" s="5"/>
      <c r="K58" s="5"/>
      <c r="L58" s="5"/>
      <c r="M58" s="5"/>
      <c r="N58" s="5"/>
      <c r="O58" s="5"/>
      <c r="P58" s="5"/>
      <c r="Q58" s="5"/>
      <c r="R58" s="5"/>
      <c r="S58" s="5"/>
      <c r="T58" s="5"/>
      <c r="U58" s="5"/>
      <c r="V58" s="5"/>
      <c r="W58" s="5"/>
      <c r="X58" s="5"/>
      <c r="Y58" s="5"/>
      <c r="Z58" s="5"/>
    </row>
    <row r="59" ht="15.75" customHeight="1">
      <c r="A59" s="5"/>
      <c r="B59" s="5"/>
      <c r="C59" s="5"/>
      <c r="D59" s="5"/>
      <c r="E59" s="5"/>
      <c r="F59" s="5"/>
      <c r="G59" s="5"/>
      <c r="H59" s="5"/>
      <c r="I59" s="5"/>
      <c r="J59" s="5"/>
      <c r="K59" s="5"/>
      <c r="L59" s="5"/>
      <c r="M59" s="5"/>
      <c r="N59" s="5"/>
      <c r="O59" s="5"/>
      <c r="P59" s="5"/>
      <c r="Q59" s="5"/>
      <c r="R59" s="5"/>
      <c r="S59" s="5"/>
      <c r="T59" s="5"/>
      <c r="U59" s="5"/>
      <c r="V59" s="5"/>
      <c r="W59" s="5"/>
      <c r="X59" s="5"/>
      <c r="Y59" s="5"/>
      <c r="Z59" s="5"/>
    </row>
    <row r="60" ht="15.75" customHeight="1">
      <c r="A60" s="5"/>
      <c r="B60" s="5"/>
      <c r="C60" s="5"/>
      <c r="D60" s="5"/>
      <c r="E60" s="5"/>
      <c r="F60" s="5"/>
      <c r="G60" s="5"/>
      <c r="H60" s="5"/>
      <c r="I60" s="5"/>
      <c r="J60" s="5"/>
      <c r="K60" s="5"/>
      <c r="L60" s="5"/>
      <c r="M60" s="5"/>
      <c r="N60" s="5"/>
      <c r="O60" s="5"/>
      <c r="P60" s="5"/>
      <c r="Q60" s="5"/>
      <c r="R60" s="5"/>
      <c r="S60" s="5"/>
      <c r="T60" s="5"/>
      <c r="U60" s="5"/>
      <c r="V60" s="5"/>
      <c r="W60" s="5"/>
      <c r="X60" s="5"/>
      <c r="Y60" s="5"/>
      <c r="Z60" s="5"/>
    </row>
    <row r="61" ht="15.75" customHeight="1">
      <c r="A61" s="5"/>
      <c r="B61" s="5"/>
      <c r="C61" s="5"/>
      <c r="D61" s="5"/>
      <c r="E61" s="5"/>
      <c r="F61" s="5"/>
      <c r="G61" s="5"/>
      <c r="H61" s="5"/>
      <c r="I61" s="5"/>
      <c r="J61" s="5"/>
      <c r="K61" s="5"/>
      <c r="L61" s="5"/>
      <c r="M61" s="5"/>
      <c r="N61" s="5"/>
      <c r="O61" s="5"/>
      <c r="P61" s="5"/>
      <c r="Q61" s="5"/>
      <c r="R61" s="5"/>
      <c r="S61" s="5"/>
      <c r="T61" s="5"/>
      <c r="U61" s="5"/>
      <c r="V61" s="5"/>
      <c r="W61" s="5"/>
      <c r="X61" s="5"/>
      <c r="Y61" s="5"/>
      <c r="Z61" s="5"/>
    </row>
    <row r="62" ht="15.75" customHeight="1">
      <c r="A62" s="5"/>
      <c r="B62" s="5"/>
      <c r="C62" s="5"/>
      <c r="D62" s="5"/>
      <c r="E62" s="5"/>
      <c r="F62" s="5"/>
      <c r="G62" s="5"/>
      <c r="H62" s="5"/>
      <c r="I62" s="5"/>
      <c r="J62" s="5"/>
      <c r="K62" s="5"/>
      <c r="L62" s="5"/>
      <c r="M62" s="5"/>
      <c r="N62" s="5"/>
      <c r="O62" s="5"/>
      <c r="P62" s="5"/>
      <c r="Q62" s="5"/>
      <c r="R62" s="5"/>
      <c r="S62" s="5"/>
      <c r="T62" s="5"/>
      <c r="U62" s="5"/>
      <c r="V62" s="5"/>
      <c r="W62" s="5"/>
      <c r="X62" s="5"/>
      <c r="Y62" s="5"/>
      <c r="Z62" s="5"/>
    </row>
    <row r="63" ht="15.75" customHeight="1">
      <c r="A63" s="5"/>
      <c r="B63" s="5"/>
      <c r="C63" s="5"/>
      <c r="D63" s="5"/>
      <c r="E63" s="5"/>
      <c r="F63" s="5"/>
      <c r="G63" s="5"/>
      <c r="H63" s="5"/>
      <c r="I63" s="5"/>
      <c r="J63" s="5"/>
      <c r="K63" s="5"/>
      <c r="L63" s="5"/>
      <c r="M63" s="5"/>
      <c r="N63" s="5"/>
      <c r="O63" s="5"/>
      <c r="P63" s="5"/>
      <c r="Q63" s="5"/>
      <c r="R63" s="5"/>
      <c r="S63" s="5"/>
      <c r="T63" s="5"/>
      <c r="U63" s="5"/>
      <c r="V63" s="5"/>
      <c r="W63" s="5"/>
      <c r="X63" s="5"/>
      <c r="Y63" s="5"/>
      <c r="Z63" s="5"/>
    </row>
    <row r="64" ht="15.75" customHeight="1">
      <c r="A64" s="5"/>
      <c r="B64" s="5"/>
      <c r="C64" s="5"/>
      <c r="D64" s="5"/>
      <c r="E64" s="5"/>
      <c r="F64" s="5"/>
      <c r="G64" s="5"/>
      <c r="H64" s="5"/>
      <c r="I64" s="5"/>
      <c r="J64" s="5"/>
      <c r="K64" s="5"/>
      <c r="L64" s="5"/>
      <c r="M64" s="5"/>
      <c r="N64" s="5"/>
      <c r="O64" s="5"/>
      <c r="P64" s="5"/>
      <c r="Q64" s="5"/>
      <c r="R64" s="5"/>
      <c r="S64" s="5"/>
      <c r="T64" s="5"/>
      <c r="U64" s="5"/>
      <c r="V64" s="5"/>
      <c r="W64" s="5"/>
      <c r="X64" s="5"/>
      <c r="Y64" s="5"/>
      <c r="Z64" s="5"/>
    </row>
    <row r="65" ht="15.75" customHeight="1">
      <c r="A65" s="5"/>
      <c r="B65" s="5"/>
      <c r="C65" s="5"/>
      <c r="D65" s="5"/>
      <c r="E65" s="5"/>
      <c r="F65" s="5"/>
      <c r="G65" s="5"/>
      <c r="H65" s="5"/>
      <c r="I65" s="5"/>
      <c r="J65" s="5"/>
      <c r="K65" s="5"/>
      <c r="L65" s="5"/>
      <c r="M65" s="5"/>
      <c r="N65" s="5"/>
      <c r="O65" s="5"/>
      <c r="P65" s="5"/>
      <c r="Q65" s="5"/>
      <c r="R65" s="5"/>
      <c r="S65" s="5"/>
      <c r="T65" s="5"/>
      <c r="U65" s="5"/>
      <c r="V65" s="5"/>
      <c r="W65" s="5"/>
      <c r="X65" s="5"/>
      <c r="Y65" s="5"/>
      <c r="Z65" s="5"/>
    </row>
    <row r="66" ht="15.75" customHeight="1">
      <c r="A66" s="5"/>
      <c r="B66" s="5"/>
      <c r="C66" s="5"/>
      <c r="D66" s="5"/>
      <c r="E66" s="5"/>
      <c r="F66" s="5"/>
      <c r="G66" s="5"/>
      <c r="H66" s="5"/>
      <c r="I66" s="5"/>
      <c r="J66" s="5"/>
      <c r="K66" s="5"/>
      <c r="L66" s="5"/>
      <c r="M66" s="5"/>
      <c r="N66" s="5"/>
      <c r="O66" s="5"/>
      <c r="P66" s="5"/>
      <c r="Q66" s="5"/>
      <c r="R66" s="5"/>
      <c r="S66" s="5"/>
      <c r="T66" s="5"/>
      <c r="U66" s="5"/>
      <c r="V66" s="5"/>
      <c r="W66" s="5"/>
      <c r="X66" s="5"/>
      <c r="Y66" s="5"/>
      <c r="Z66" s="5"/>
    </row>
    <row r="67" ht="15.75" customHeight="1">
      <c r="A67" s="5"/>
      <c r="B67" s="5"/>
      <c r="C67" s="5"/>
      <c r="D67" s="5"/>
      <c r="E67" s="5"/>
      <c r="F67" s="5"/>
      <c r="G67" s="5"/>
      <c r="H67" s="5"/>
      <c r="I67" s="5"/>
      <c r="J67" s="5"/>
      <c r="K67" s="5"/>
      <c r="L67" s="5"/>
      <c r="M67" s="5"/>
      <c r="N67" s="5"/>
      <c r="O67" s="5"/>
      <c r="P67" s="5"/>
      <c r="Q67" s="5"/>
      <c r="R67" s="5"/>
      <c r="S67" s="5"/>
      <c r="T67" s="5"/>
      <c r="U67" s="5"/>
      <c r="V67" s="5"/>
      <c r="W67" s="5"/>
      <c r="X67" s="5"/>
      <c r="Y67" s="5"/>
      <c r="Z67" s="5"/>
    </row>
    <row r="68" ht="15.75" customHeight="1">
      <c r="A68" s="5"/>
      <c r="B68" s="5"/>
      <c r="C68" s="5"/>
      <c r="D68" s="5"/>
      <c r="E68" s="5"/>
      <c r="F68" s="5"/>
      <c r="G68" s="5"/>
      <c r="H68" s="5"/>
      <c r="I68" s="5"/>
      <c r="J68" s="5"/>
      <c r="K68" s="5"/>
      <c r="L68" s="5"/>
      <c r="M68" s="5"/>
      <c r="N68" s="5"/>
      <c r="O68" s="5"/>
      <c r="P68" s="5"/>
      <c r="Q68" s="5"/>
      <c r="R68" s="5"/>
      <c r="S68" s="5"/>
      <c r="T68" s="5"/>
      <c r="U68" s="5"/>
      <c r="V68" s="5"/>
      <c r="W68" s="5"/>
      <c r="X68" s="5"/>
      <c r="Y68" s="5"/>
      <c r="Z68" s="5"/>
    </row>
    <row r="69" ht="15.75" customHeight="1">
      <c r="A69" s="5"/>
      <c r="B69" s="5"/>
      <c r="C69" s="5"/>
      <c r="D69" s="5"/>
      <c r="E69" s="5"/>
      <c r="F69" s="5"/>
      <c r="G69" s="5"/>
      <c r="H69" s="5"/>
      <c r="I69" s="5"/>
      <c r="J69" s="5"/>
      <c r="K69" s="5"/>
      <c r="L69" s="5"/>
      <c r="M69" s="5"/>
      <c r="N69" s="5"/>
      <c r="O69" s="5"/>
      <c r="P69" s="5"/>
      <c r="Q69" s="5"/>
      <c r="R69" s="5"/>
      <c r="S69" s="5"/>
      <c r="T69" s="5"/>
      <c r="U69" s="5"/>
      <c r="V69" s="5"/>
      <c r="W69" s="5"/>
      <c r="X69" s="5"/>
      <c r="Y69" s="5"/>
      <c r="Z69" s="5"/>
    </row>
    <row r="70" ht="15.75" customHeight="1">
      <c r="A70" s="5"/>
      <c r="B70" s="5"/>
      <c r="C70" s="5"/>
      <c r="D70" s="5"/>
      <c r="E70" s="5"/>
      <c r="F70" s="5"/>
      <c r="G70" s="5"/>
      <c r="H70" s="5"/>
      <c r="I70" s="5"/>
      <c r="J70" s="5"/>
      <c r="K70" s="5"/>
      <c r="L70" s="5"/>
      <c r="M70" s="5"/>
      <c r="N70" s="5"/>
      <c r="O70" s="5"/>
      <c r="P70" s="5"/>
      <c r="Q70" s="5"/>
      <c r="R70" s="5"/>
      <c r="S70" s="5"/>
      <c r="T70" s="5"/>
      <c r="U70" s="5"/>
      <c r="V70" s="5"/>
      <c r="W70" s="5"/>
      <c r="X70" s="5"/>
      <c r="Y70" s="5"/>
      <c r="Z70" s="5"/>
    </row>
    <row r="71" ht="15.75" customHeight="1">
      <c r="A71" s="5"/>
      <c r="B71" s="5"/>
      <c r="C71" s="5"/>
      <c r="D71" s="5"/>
      <c r="E71" s="5"/>
      <c r="F71" s="5"/>
      <c r="G71" s="5"/>
      <c r="H71" s="5"/>
      <c r="I71" s="5"/>
      <c r="J71" s="5"/>
      <c r="K71" s="5"/>
      <c r="L71" s="5"/>
      <c r="M71" s="5"/>
      <c r="N71" s="5"/>
      <c r="O71" s="5"/>
      <c r="P71" s="5"/>
      <c r="Q71" s="5"/>
      <c r="R71" s="5"/>
      <c r="S71" s="5"/>
      <c r="T71" s="5"/>
      <c r="U71" s="5"/>
      <c r="V71" s="5"/>
      <c r="W71" s="5"/>
      <c r="X71" s="5"/>
      <c r="Y71" s="5"/>
      <c r="Z71" s="5"/>
    </row>
    <row r="72" ht="15.75" customHeight="1">
      <c r="A72" s="5"/>
      <c r="B72" s="5"/>
      <c r="C72" s="5"/>
      <c r="D72" s="5"/>
      <c r="E72" s="5"/>
      <c r="F72" s="5"/>
      <c r="G72" s="5"/>
      <c r="H72" s="5"/>
      <c r="I72" s="5"/>
      <c r="J72" s="5"/>
      <c r="K72" s="5"/>
      <c r="L72" s="5"/>
      <c r="M72" s="5"/>
      <c r="N72" s="5"/>
      <c r="O72" s="5"/>
      <c r="P72" s="5"/>
      <c r="Q72" s="5"/>
      <c r="R72" s="5"/>
      <c r="S72" s="5"/>
      <c r="T72" s="5"/>
      <c r="U72" s="5"/>
      <c r="V72" s="5"/>
      <c r="W72" s="5"/>
      <c r="X72" s="5"/>
      <c r="Y72" s="5"/>
      <c r="Z72" s="5"/>
    </row>
    <row r="73" ht="15.75" customHeight="1">
      <c r="A73" s="5"/>
      <c r="B73" s="5"/>
      <c r="C73" s="5"/>
      <c r="D73" s="5"/>
      <c r="E73" s="5"/>
      <c r="F73" s="5"/>
      <c r="G73" s="5"/>
      <c r="H73" s="5"/>
      <c r="I73" s="5"/>
      <c r="J73" s="5"/>
      <c r="K73" s="5"/>
      <c r="L73" s="5"/>
      <c r="M73" s="5"/>
      <c r="N73" s="5"/>
      <c r="O73" s="5"/>
      <c r="P73" s="5"/>
      <c r="Q73" s="5"/>
      <c r="R73" s="5"/>
      <c r="S73" s="5"/>
      <c r="T73" s="5"/>
      <c r="U73" s="5"/>
      <c r="V73" s="5"/>
      <c r="W73" s="5"/>
      <c r="X73" s="5"/>
      <c r="Y73" s="5"/>
      <c r="Z73" s="5"/>
    </row>
    <row r="74" ht="15.75" customHeight="1">
      <c r="A74" s="5"/>
      <c r="B74" s="5"/>
      <c r="C74" s="5"/>
      <c r="D74" s="5"/>
      <c r="E74" s="5"/>
      <c r="F74" s="5"/>
      <c r="G74" s="5"/>
      <c r="H74" s="5"/>
      <c r="I74" s="5"/>
      <c r="J74" s="5"/>
      <c r="K74" s="5"/>
      <c r="L74" s="5"/>
      <c r="M74" s="5"/>
      <c r="N74" s="5"/>
      <c r="O74" s="5"/>
      <c r="P74" s="5"/>
      <c r="Q74" s="5"/>
      <c r="R74" s="5"/>
      <c r="S74" s="5"/>
      <c r="T74" s="5"/>
      <c r="U74" s="5"/>
      <c r="V74" s="5"/>
      <c r="W74" s="5"/>
      <c r="X74" s="5"/>
      <c r="Y74" s="5"/>
      <c r="Z74" s="5"/>
    </row>
    <row r="75" ht="15.75" customHeight="1">
      <c r="A75" s="5"/>
      <c r="B75" s="5"/>
      <c r="C75" s="5"/>
      <c r="D75" s="5"/>
      <c r="E75" s="5"/>
      <c r="F75" s="5"/>
      <c r="G75" s="5"/>
      <c r="H75" s="5"/>
      <c r="I75" s="5"/>
      <c r="J75" s="5"/>
      <c r="K75" s="5"/>
      <c r="L75" s="5"/>
      <c r="M75" s="5"/>
      <c r="N75" s="5"/>
      <c r="O75" s="5"/>
      <c r="P75" s="5"/>
      <c r="Q75" s="5"/>
      <c r="R75" s="5"/>
      <c r="S75" s="5"/>
      <c r="T75" s="5"/>
      <c r="U75" s="5"/>
      <c r="V75" s="5"/>
      <c r="W75" s="5"/>
      <c r="X75" s="5"/>
      <c r="Y75" s="5"/>
      <c r="Z75" s="5"/>
    </row>
    <row r="76" ht="15.75" customHeight="1">
      <c r="A76" s="5"/>
      <c r="B76" s="5"/>
      <c r="C76" s="5"/>
      <c r="D76" s="5"/>
      <c r="E76" s="5"/>
      <c r="F76" s="5"/>
      <c r="G76" s="5"/>
      <c r="H76" s="5"/>
      <c r="I76" s="5"/>
      <c r="J76" s="5"/>
      <c r="K76" s="5"/>
      <c r="L76" s="5"/>
      <c r="M76" s="5"/>
      <c r="N76" s="5"/>
      <c r="O76" s="5"/>
      <c r="P76" s="5"/>
      <c r="Q76" s="5"/>
      <c r="R76" s="5"/>
      <c r="S76" s="5"/>
      <c r="T76" s="5"/>
      <c r="U76" s="5"/>
      <c r="V76" s="5"/>
      <c r="W76" s="5"/>
      <c r="X76" s="5"/>
      <c r="Y76" s="5"/>
      <c r="Z76" s="5"/>
    </row>
    <row r="77" ht="15.75" customHeight="1">
      <c r="A77" s="5"/>
      <c r="B77" s="5"/>
      <c r="C77" s="5"/>
      <c r="D77" s="5"/>
      <c r="E77" s="5"/>
      <c r="F77" s="5"/>
      <c r="G77" s="5"/>
      <c r="H77" s="5"/>
      <c r="I77" s="5"/>
      <c r="J77" s="5"/>
      <c r="K77" s="5"/>
      <c r="L77" s="5"/>
      <c r="M77" s="5"/>
      <c r="N77" s="5"/>
      <c r="O77" s="5"/>
      <c r="P77" s="5"/>
      <c r="Q77" s="5"/>
      <c r="R77" s="5"/>
      <c r="S77" s="5"/>
      <c r="T77" s="5"/>
      <c r="U77" s="5"/>
      <c r="V77" s="5"/>
      <c r="W77" s="5"/>
      <c r="X77" s="5"/>
      <c r="Y77" s="5"/>
      <c r="Z77" s="5"/>
    </row>
    <row r="78" ht="15.75" customHeight="1">
      <c r="A78" s="5"/>
      <c r="B78" s="5"/>
      <c r="C78" s="5"/>
      <c r="D78" s="5"/>
      <c r="E78" s="5"/>
      <c r="F78" s="5"/>
      <c r="G78" s="5"/>
      <c r="H78" s="5"/>
      <c r="I78" s="5"/>
      <c r="J78" s="5"/>
      <c r="K78" s="5"/>
      <c r="L78" s="5"/>
      <c r="M78" s="5"/>
      <c r="N78" s="5"/>
      <c r="O78" s="5"/>
      <c r="P78" s="5"/>
      <c r="Q78" s="5"/>
      <c r="R78" s="5"/>
      <c r="S78" s="5"/>
      <c r="T78" s="5"/>
      <c r="U78" s="5"/>
      <c r="V78" s="5"/>
      <c r="W78" s="5"/>
      <c r="X78" s="5"/>
      <c r="Y78" s="5"/>
      <c r="Z78" s="5"/>
    </row>
    <row r="79" ht="15.75" customHeight="1">
      <c r="A79" s="5"/>
      <c r="B79" s="5"/>
      <c r="C79" s="5"/>
      <c r="D79" s="5"/>
      <c r="E79" s="5"/>
      <c r="F79" s="5"/>
      <c r="G79" s="5"/>
      <c r="H79" s="5"/>
      <c r="I79" s="5"/>
      <c r="J79" s="5"/>
      <c r="K79" s="5"/>
      <c r="L79" s="5"/>
      <c r="M79" s="5"/>
      <c r="N79" s="5"/>
      <c r="O79" s="5"/>
      <c r="P79" s="5"/>
      <c r="Q79" s="5"/>
      <c r="R79" s="5"/>
      <c r="S79" s="5"/>
      <c r="T79" s="5"/>
      <c r="U79" s="5"/>
      <c r="V79" s="5"/>
      <c r="W79" s="5"/>
      <c r="X79" s="5"/>
      <c r="Y79" s="5"/>
      <c r="Z79" s="5"/>
    </row>
    <row r="80" ht="15.75" customHeight="1">
      <c r="A80" s="5"/>
      <c r="B80" s="5"/>
      <c r="C80" s="5"/>
      <c r="D80" s="5"/>
      <c r="E80" s="5"/>
      <c r="F80" s="5"/>
      <c r="G80" s="5"/>
      <c r="H80" s="5"/>
      <c r="I80" s="5"/>
      <c r="J80" s="5"/>
      <c r="K80" s="5"/>
      <c r="L80" s="5"/>
      <c r="M80" s="5"/>
      <c r="N80" s="5"/>
      <c r="O80" s="5"/>
      <c r="P80" s="5"/>
      <c r="Q80" s="5"/>
      <c r="R80" s="5"/>
      <c r="S80" s="5"/>
      <c r="T80" s="5"/>
      <c r="U80" s="5"/>
      <c r="V80" s="5"/>
      <c r="W80" s="5"/>
      <c r="X80" s="5"/>
      <c r="Y80" s="5"/>
      <c r="Z80" s="5"/>
    </row>
    <row r="81" ht="15.75" customHeight="1">
      <c r="A81" s="5"/>
      <c r="B81" s="5"/>
      <c r="C81" s="5"/>
      <c r="D81" s="5"/>
      <c r="E81" s="5"/>
      <c r="F81" s="5"/>
      <c r="G81" s="5"/>
      <c r="H81" s="5"/>
      <c r="I81" s="5"/>
      <c r="J81" s="5"/>
      <c r="K81" s="5"/>
      <c r="L81" s="5"/>
      <c r="M81" s="5"/>
      <c r="N81" s="5"/>
      <c r="O81" s="5"/>
      <c r="P81" s="5"/>
      <c r="Q81" s="5"/>
      <c r="R81" s="5"/>
      <c r="S81" s="5"/>
      <c r="T81" s="5"/>
      <c r="U81" s="5"/>
      <c r="V81" s="5"/>
      <c r="W81" s="5"/>
      <c r="X81" s="5"/>
      <c r="Y81" s="5"/>
      <c r="Z81" s="5"/>
    </row>
    <row r="82" ht="15.75" customHeight="1">
      <c r="A82" s="5"/>
      <c r="B82" s="5"/>
      <c r="C82" s="5"/>
      <c r="D82" s="5"/>
      <c r="E82" s="5"/>
      <c r="F82" s="5"/>
      <c r="G82" s="5"/>
      <c r="H82" s="5"/>
      <c r="I82" s="5"/>
      <c r="J82" s="5"/>
      <c r="K82" s="5"/>
      <c r="L82" s="5"/>
      <c r="M82" s="5"/>
      <c r="N82" s="5"/>
      <c r="O82" s="5"/>
      <c r="P82" s="5"/>
      <c r="Q82" s="5"/>
      <c r="R82" s="5"/>
      <c r="S82" s="5"/>
      <c r="T82" s="5"/>
      <c r="U82" s="5"/>
      <c r="V82" s="5"/>
      <c r="W82" s="5"/>
      <c r="X82" s="5"/>
      <c r="Y82" s="5"/>
      <c r="Z82" s="5"/>
    </row>
    <row r="83" ht="15.75" customHeight="1">
      <c r="A83" s="5"/>
      <c r="B83" s="5"/>
      <c r="C83" s="5"/>
      <c r="D83" s="5"/>
      <c r="E83" s="5"/>
      <c r="F83" s="5"/>
      <c r="G83" s="5"/>
      <c r="H83" s="5"/>
      <c r="I83" s="5"/>
      <c r="J83" s="5"/>
      <c r="K83" s="5"/>
      <c r="L83" s="5"/>
      <c r="M83" s="5"/>
      <c r="N83" s="5"/>
      <c r="O83" s="5"/>
      <c r="P83" s="5"/>
      <c r="Q83" s="5"/>
      <c r="R83" s="5"/>
      <c r="S83" s="5"/>
      <c r="T83" s="5"/>
      <c r="U83" s="5"/>
      <c r="V83" s="5"/>
      <c r="W83" s="5"/>
      <c r="X83" s="5"/>
      <c r="Y83" s="5"/>
      <c r="Z83" s="5"/>
    </row>
    <row r="84" ht="15.75" customHeight="1">
      <c r="A84" s="5"/>
      <c r="B84" s="5"/>
      <c r="C84" s="5"/>
      <c r="D84" s="5"/>
      <c r="E84" s="5"/>
      <c r="F84" s="5"/>
      <c r="G84" s="5"/>
      <c r="H84" s="5"/>
      <c r="I84" s="5"/>
      <c r="J84" s="5"/>
      <c r="K84" s="5"/>
      <c r="L84" s="5"/>
      <c r="M84" s="5"/>
      <c r="N84" s="5"/>
      <c r="O84" s="5"/>
      <c r="P84" s="5"/>
      <c r="Q84" s="5"/>
      <c r="R84" s="5"/>
      <c r="S84" s="5"/>
      <c r="T84" s="5"/>
      <c r="U84" s="5"/>
      <c r="V84" s="5"/>
      <c r="W84" s="5"/>
      <c r="X84" s="5"/>
      <c r="Y84" s="5"/>
      <c r="Z84" s="5"/>
    </row>
    <row r="85" ht="15.75" customHeight="1">
      <c r="A85" s="5"/>
      <c r="B85" s="5"/>
      <c r="C85" s="5"/>
      <c r="D85" s="5"/>
      <c r="E85" s="5"/>
      <c r="F85" s="5"/>
      <c r="G85" s="5"/>
      <c r="H85" s="5"/>
      <c r="I85" s="5"/>
      <c r="J85" s="5"/>
      <c r="K85" s="5"/>
      <c r="L85" s="5"/>
      <c r="M85" s="5"/>
      <c r="N85" s="5"/>
      <c r="O85" s="5"/>
      <c r="P85" s="5"/>
      <c r="Q85" s="5"/>
      <c r="R85" s="5"/>
      <c r="S85" s="5"/>
      <c r="T85" s="5"/>
      <c r="U85" s="5"/>
      <c r="V85" s="5"/>
      <c r="W85" s="5"/>
      <c r="X85" s="5"/>
      <c r="Y85" s="5"/>
      <c r="Z85" s="5"/>
    </row>
    <row r="86" ht="15.75" customHeight="1">
      <c r="A86" s="5"/>
      <c r="B86" s="5"/>
      <c r="C86" s="5"/>
      <c r="D86" s="5"/>
      <c r="E86" s="5"/>
      <c r="F86" s="5"/>
      <c r="G86" s="5"/>
      <c r="H86" s="5"/>
      <c r="I86" s="5"/>
      <c r="J86" s="5"/>
      <c r="K86" s="5"/>
      <c r="L86" s="5"/>
      <c r="M86" s="5"/>
      <c r="N86" s="5"/>
      <c r="O86" s="5"/>
      <c r="P86" s="5"/>
      <c r="Q86" s="5"/>
      <c r="R86" s="5"/>
      <c r="S86" s="5"/>
      <c r="T86" s="5"/>
      <c r="U86" s="5"/>
      <c r="V86" s="5"/>
      <c r="W86" s="5"/>
      <c r="X86" s="5"/>
      <c r="Y86" s="5"/>
      <c r="Z86" s="5"/>
    </row>
    <row r="87" ht="15.75" customHeight="1">
      <c r="A87" s="5"/>
      <c r="B87" s="5"/>
      <c r="C87" s="5"/>
      <c r="D87" s="5"/>
      <c r="E87" s="5"/>
      <c r="F87" s="5"/>
      <c r="G87" s="5"/>
      <c r="H87" s="5"/>
      <c r="I87" s="5"/>
      <c r="J87" s="5"/>
      <c r="K87" s="5"/>
      <c r="L87" s="5"/>
      <c r="M87" s="5"/>
      <c r="N87" s="5"/>
      <c r="O87" s="5"/>
      <c r="P87" s="5"/>
      <c r="Q87" s="5"/>
      <c r="R87" s="5"/>
      <c r="S87" s="5"/>
      <c r="T87" s="5"/>
      <c r="U87" s="5"/>
      <c r="V87" s="5"/>
      <c r="W87" s="5"/>
      <c r="X87" s="5"/>
      <c r="Y87" s="5"/>
      <c r="Z87" s="5"/>
    </row>
    <row r="88" ht="15.75" customHeight="1">
      <c r="A88" s="5"/>
      <c r="B88" s="5"/>
      <c r="C88" s="5"/>
      <c r="D88" s="5"/>
      <c r="E88" s="5"/>
      <c r="F88" s="5"/>
      <c r="G88" s="5"/>
      <c r="H88" s="5"/>
      <c r="I88" s="5"/>
      <c r="J88" s="5"/>
      <c r="K88" s="5"/>
      <c r="L88" s="5"/>
      <c r="M88" s="5"/>
      <c r="N88" s="5"/>
      <c r="O88" s="5"/>
      <c r="P88" s="5"/>
      <c r="Q88" s="5"/>
      <c r="R88" s="5"/>
      <c r="S88" s="5"/>
      <c r="T88" s="5"/>
      <c r="U88" s="5"/>
      <c r="V88" s="5"/>
      <c r="W88" s="5"/>
      <c r="X88" s="5"/>
      <c r="Y88" s="5"/>
      <c r="Z88" s="5"/>
    </row>
    <row r="89" ht="15.75" customHeight="1">
      <c r="A89" s="5"/>
      <c r="B89" s="5"/>
      <c r="C89" s="5"/>
      <c r="D89" s="5"/>
      <c r="E89" s="5"/>
      <c r="F89" s="5"/>
      <c r="G89" s="5"/>
      <c r="H89" s="5"/>
      <c r="I89" s="5"/>
      <c r="J89" s="5"/>
      <c r="K89" s="5"/>
      <c r="L89" s="5"/>
      <c r="M89" s="5"/>
      <c r="N89" s="5"/>
      <c r="O89" s="5"/>
      <c r="P89" s="5"/>
      <c r="Q89" s="5"/>
      <c r="R89" s="5"/>
      <c r="S89" s="5"/>
      <c r="T89" s="5"/>
      <c r="U89" s="5"/>
      <c r="V89" s="5"/>
      <c r="W89" s="5"/>
      <c r="X89" s="5"/>
      <c r="Y89" s="5"/>
      <c r="Z89" s="5"/>
    </row>
    <row r="90" ht="15.75" customHeight="1">
      <c r="A90" s="5"/>
      <c r="B90" s="5"/>
      <c r="C90" s="5"/>
      <c r="D90" s="5"/>
      <c r="E90" s="5"/>
      <c r="F90" s="5"/>
      <c r="G90" s="5"/>
      <c r="H90" s="5"/>
      <c r="I90" s="5"/>
      <c r="J90" s="5"/>
      <c r="K90" s="5"/>
      <c r="L90" s="5"/>
      <c r="M90" s="5"/>
      <c r="N90" s="5"/>
      <c r="O90" s="5"/>
      <c r="P90" s="5"/>
      <c r="Q90" s="5"/>
      <c r="R90" s="5"/>
      <c r="S90" s="5"/>
      <c r="T90" s="5"/>
      <c r="U90" s="5"/>
      <c r="V90" s="5"/>
      <c r="W90" s="5"/>
      <c r="X90" s="5"/>
      <c r="Y90" s="5"/>
      <c r="Z90" s="5"/>
    </row>
    <row r="91" ht="15.75" customHeight="1">
      <c r="A91" s="5"/>
      <c r="B91" s="5"/>
      <c r="C91" s="5"/>
      <c r="D91" s="5"/>
      <c r="E91" s="5"/>
      <c r="F91" s="5"/>
      <c r="G91" s="5"/>
      <c r="H91" s="5"/>
      <c r="I91" s="5"/>
      <c r="J91" s="5"/>
      <c r="K91" s="5"/>
      <c r="L91" s="5"/>
      <c r="M91" s="5"/>
      <c r="N91" s="5"/>
      <c r="O91" s="5"/>
      <c r="P91" s="5"/>
      <c r="Q91" s="5"/>
      <c r="R91" s="5"/>
      <c r="S91" s="5"/>
      <c r="T91" s="5"/>
      <c r="U91" s="5"/>
      <c r="V91" s="5"/>
      <c r="W91" s="5"/>
      <c r="X91" s="5"/>
      <c r="Y91" s="5"/>
      <c r="Z91" s="5"/>
    </row>
    <row r="92" ht="15.75" customHeight="1">
      <c r="A92" s="5"/>
      <c r="B92" s="5"/>
      <c r="C92" s="5"/>
      <c r="D92" s="5"/>
      <c r="E92" s="5"/>
      <c r="F92" s="5"/>
      <c r="G92" s="5"/>
      <c r="H92" s="5"/>
      <c r="I92" s="5"/>
      <c r="J92" s="5"/>
      <c r="K92" s="5"/>
      <c r="L92" s="5"/>
      <c r="M92" s="5"/>
      <c r="N92" s="5"/>
      <c r="O92" s="5"/>
      <c r="P92" s="5"/>
      <c r="Q92" s="5"/>
      <c r="R92" s="5"/>
      <c r="S92" s="5"/>
      <c r="T92" s="5"/>
      <c r="U92" s="5"/>
      <c r="V92" s="5"/>
      <c r="W92" s="5"/>
      <c r="X92" s="5"/>
      <c r="Y92" s="5"/>
      <c r="Z92" s="5"/>
    </row>
    <row r="93" ht="15.75" customHeight="1">
      <c r="A93" s="5"/>
      <c r="B93" s="5"/>
      <c r="C93" s="5"/>
      <c r="D93" s="5"/>
      <c r="E93" s="5"/>
      <c r="F93" s="5"/>
      <c r="G93" s="5"/>
      <c r="H93" s="5"/>
      <c r="I93" s="5"/>
      <c r="J93" s="5"/>
      <c r="K93" s="5"/>
      <c r="L93" s="5"/>
      <c r="M93" s="5"/>
      <c r="N93" s="5"/>
      <c r="O93" s="5"/>
      <c r="P93" s="5"/>
      <c r="Q93" s="5"/>
      <c r="R93" s="5"/>
      <c r="S93" s="5"/>
      <c r="T93" s="5"/>
      <c r="U93" s="5"/>
      <c r="V93" s="5"/>
      <c r="W93" s="5"/>
      <c r="X93" s="5"/>
      <c r="Y93" s="5"/>
      <c r="Z93" s="5"/>
    </row>
    <row r="94" ht="15.75" customHeight="1">
      <c r="A94" s="5"/>
      <c r="B94" s="5"/>
      <c r="C94" s="5"/>
      <c r="D94" s="5"/>
      <c r="E94" s="5"/>
      <c r="F94" s="5"/>
      <c r="G94" s="5"/>
      <c r="H94" s="5"/>
      <c r="I94" s="5"/>
      <c r="J94" s="5"/>
      <c r="K94" s="5"/>
      <c r="L94" s="5"/>
      <c r="M94" s="5"/>
      <c r="N94" s="5"/>
      <c r="O94" s="5"/>
      <c r="P94" s="5"/>
      <c r="Q94" s="5"/>
      <c r="R94" s="5"/>
      <c r="S94" s="5"/>
      <c r="T94" s="5"/>
      <c r="U94" s="5"/>
      <c r="V94" s="5"/>
      <c r="W94" s="5"/>
      <c r="X94" s="5"/>
      <c r="Y94" s="5"/>
      <c r="Z94" s="5"/>
    </row>
    <row r="95" ht="15.75" customHeight="1">
      <c r="A95" s="5"/>
      <c r="B95" s="5"/>
      <c r="C95" s="5"/>
      <c r="D95" s="5"/>
      <c r="E95" s="5"/>
      <c r="F95" s="5"/>
      <c r="G95" s="5"/>
      <c r="H95" s="5"/>
      <c r="I95" s="5"/>
      <c r="J95" s="5"/>
      <c r="K95" s="5"/>
      <c r="L95" s="5"/>
      <c r="M95" s="5"/>
      <c r="N95" s="5"/>
      <c r="O95" s="5"/>
      <c r="P95" s="5"/>
      <c r="Q95" s="5"/>
      <c r="R95" s="5"/>
      <c r="S95" s="5"/>
      <c r="T95" s="5"/>
      <c r="U95" s="5"/>
      <c r="V95" s="5"/>
      <c r="W95" s="5"/>
      <c r="X95" s="5"/>
      <c r="Y95" s="5"/>
      <c r="Z95" s="5"/>
    </row>
    <row r="96" ht="15.75" customHeight="1">
      <c r="A96" s="5"/>
      <c r="B96" s="5"/>
      <c r="C96" s="5"/>
      <c r="D96" s="5"/>
      <c r="E96" s="5"/>
      <c r="F96" s="5"/>
      <c r="G96" s="5"/>
      <c r="H96" s="5"/>
      <c r="I96" s="5"/>
      <c r="J96" s="5"/>
      <c r="K96" s="5"/>
      <c r="L96" s="5"/>
      <c r="M96" s="5"/>
      <c r="N96" s="5"/>
      <c r="O96" s="5"/>
      <c r="P96" s="5"/>
      <c r="Q96" s="5"/>
      <c r="R96" s="5"/>
      <c r="S96" s="5"/>
      <c r="T96" s="5"/>
      <c r="U96" s="5"/>
      <c r="V96" s="5"/>
      <c r="W96" s="5"/>
      <c r="X96" s="5"/>
      <c r="Y96" s="5"/>
      <c r="Z96" s="5"/>
    </row>
    <row r="97" ht="15.75" customHeight="1">
      <c r="A97" s="5"/>
      <c r="B97" s="5"/>
      <c r="C97" s="5"/>
      <c r="D97" s="5"/>
      <c r="E97" s="5"/>
      <c r="F97" s="5"/>
      <c r="G97" s="5"/>
      <c r="H97" s="5"/>
      <c r="I97" s="5"/>
      <c r="J97" s="5"/>
      <c r="K97" s="5"/>
      <c r="L97" s="5"/>
      <c r="M97" s="5"/>
      <c r="N97" s="5"/>
      <c r="O97" s="5"/>
      <c r="P97" s="5"/>
      <c r="Q97" s="5"/>
      <c r="R97" s="5"/>
      <c r="S97" s="5"/>
      <c r="T97" s="5"/>
      <c r="U97" s="5"/>
      <c r="V97" s="5"/>
      <c r="W97" s="5"/>
      <c r="X97" s="5"/>
      <c r="Y97" s="5"/>
      <c r="Z97" s="5"/>
    </row>
    <row r="98" ht="15.75" customHeight="1">
      <c r="A98" s="5"/>
      <c r="B98" s="5"/>
      <c r="C98" s="5"/>
      <c r="D98" s="5"/>
      <c r="E98" s="5"/>
      <c r="F98" s="5"/>
      <c r="G98" s="5"/>
      <c r="H98" s="5"/>
      <c r="I98" s="5"/>
      <c r="J98" s="5"/>
      <c r="K98" s="5"/>
      <c r="L98" s="5"/>
      <c r="M98" s="5"/>
      <c r="N98" s="5"/>
      <c r="O98" s="5"/>
      <c r="P98" s="5"/>
      <c r="Q98" s="5"/>
      <c r="R98" s="5"/>
      <c r="S98" s="5"/>
      <c r="T98" s="5"/>
      <c r="U98" s="5"/>
      <c r="V98" s="5"/>
      <c r="W98" s="5"/>
      <c r="X98" s="5"/>
      <c r="Y98" s="5"/>
      <c r="Z98" s="5"/>
    </row>
    <row r="99" ht="15.75" customHeight="1">
      <c r="A99" s="5"/>
      <c r="B99" s="5"/>
      <c r="C99" s="5"/>
      <c r="D99" s="5"/>
      <c r="E99" s="5"/>
      <c r="F99" s="5"/>
      <c r="G99" s="5"/>
      <c r="H99" s="5"/>
      <c r="I99" s="5"/>
      <c r="J99" s="5"/>
      <c r="K99" s="5"/>
      <c r="L99" s="5"/>
      <c r="M99" s="5"/>
      <c r="N99" s="5"/>
      <c r="O99" s="5"/>
      <c r="P99" s="5"/>
      <c r="Q99" s="5"/>
      <c r="R99" s="5"/>
      <c r="S99" s="5"/>
      <c r="T99" s="5"/>
      <c r="U99" s="5"/>
      <c r="V99" s="5"/>
      <c r="W99" s="5"/>
      <c r="X99" s="5"/>
      <c r="Y99" s="5"/>
      <c r="Z99" s="5"/>
    </row>
    <row r="100" ht="15.7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ht="15.7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ht="15.7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ht="15.7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ht="15.7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ht="15.7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ht="15.7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ht="15.7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ht="15.7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ht="15.7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ht="15.7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ht="15.7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ht="15.7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ht="15.7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ht="15.7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ht="15.7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ht="15.7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ht="15.7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ht="15.7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ht="15.7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ht="15.7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ht="15.7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ht="15.7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ht="15.7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ht="15.7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ht="15.7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ht="15.7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ht="15.7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ht="15.7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ht="15.7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ht="15.7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ht="15.7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ht="15.7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ht="15.7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ht="15.7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ht="15.7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ht="15.7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ht="15.7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ht="15.7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ht="15.7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ht="15.7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ht="15.7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ht="15.7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ht="15.7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ht="15.7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ht="15.7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ht="15.7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ht="15.7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ht="15.7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ht="15.7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ht="15.7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ht="15.7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ht="15.7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ht="15.7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ht="15.7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ht="15.7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ht="15.7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ht="15.7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ht="15.7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ht="15.7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ht="15.7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ht="15.7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ht="15.7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ht="15.7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ht="15.7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ht="15.7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ht="15.7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ht="15.7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ht="15.7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ht="15.7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ht="15.7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ht="15.7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ht="15.7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ht="15.7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ht="15.7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ht="15.7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ht="15.7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ht="15.7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ht="15.7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ht="15.7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ht="15.7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ht="15.7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ht="15.7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ht="15.7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ht="15.7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ht="15.7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ht="15.7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ht="15.7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ht="15.7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ht="15.7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ht="15.7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ht="15.7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ht="15.7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ht="15.7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ht="15.7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ht="15.7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ht="15.7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ht="15.7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ht="15.7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ht="15.7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ht="15.7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ht="15.7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ht="15.7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ht="15.7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ht="15.7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ht="15.7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ht="15.7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ht="15.7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ht="15.7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ht="15.7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ht="15.7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ht="15.7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ht="15.7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ht="15.7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ht="15.7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ht="15.7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ht="15.7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ht="15.7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ht="15.7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ht="15.7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ht="15.7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ht="15.7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ht="15.7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ht="15.7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ht="15.7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ht="15.7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ht="15.7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ht="15.7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ht="15.7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ht="15.7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ht="15.7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ht="15.7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ht="15.7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ht="15.7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ht="15.7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ht="15.7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ht="15.7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ht="15.7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ht="15.7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ht="15.7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ht="15.7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ht="15.7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ht="15.7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ht="15.7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ht="15.7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ht="15.7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ht="15.7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ht="15.7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ht="15.7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ht="15.7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ht="15.7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ht="15.7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ht="15.7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ht="15.7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ht="15.7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ht="15.7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ht="15.7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ht="15.7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ht="15.7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ht="15.7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ht="15.7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ht="15.7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ht="15.7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ht="15.7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ht="15.7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ht="15.7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ht="15.7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ht="15.7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ht="15.7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ht="15.7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ht="15.7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ht="15.7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ht="15.7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ht="15.7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ht="15.7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ht="15.7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ht="15.7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ht="15.7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ht="15.7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ht="15.7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ht="15.7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ht="15.7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ht="15.7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ht="15.7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ht="15.7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ht="15.7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ht="15.7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ht="15.7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ht="15.7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ht="15.7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ht="15.7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ht="15.7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ht="15.7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ht="15.7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ht="15.7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ht="15.7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ht="15.7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ht="15.7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ht="15.7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ht="15.7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ht="15.7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ht="15.7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ht="15.7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ht="15.7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ht="15.7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ht="15.7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ht="15.7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ht="15.7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ht="15.7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ht="15.7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ht="15.7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ht="15.7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ht="15.7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ht="15.7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ht="15.7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ht="15.7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ht="15.7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ht="15.7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ht="15.7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ht="15.7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ht="15.7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ht="15.7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ht="15.7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ht="15.7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ht="15.7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ht="15.7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ht="15.7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ht="15.7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ht="15.7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ht="15.7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ht="15.7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ht="15.7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ht="15.7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ht="15.7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ht="15.7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ht="15.7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ht="15.7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ht="15.7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ht="15.7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ht="15.7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ht="15.7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ht="15.7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ht="15.7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ht="15.7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ht="15.7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ht="15.7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ht="15.7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ht="15.7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ht="15.7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ht="15.7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ht="15.7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ht="15.7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ht="15.7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ht="15.7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ht="15.7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ht="15.7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ht="15.7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ht="15.7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ht="15.7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ht="15.7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ht="15.7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ht="15.7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ht="15.7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ht="15.7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ht="15.7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ht="15.7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ht="15.7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ht="15.7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ht="15.7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ht="15.7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ht="15.7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ht="15.7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ht="15.7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ht="15.7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ht="15.7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ht="15.7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ht="15.7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ht="15.7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ht="15.7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ht="15.7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ht="15.7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ht="15.7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ht="15.7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ht="15.7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ht="15.7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ht="15.7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ht="15.7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ht="15.7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ht="15.7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ht="15.7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ht="15.7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ht="15.7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ht="15.7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ht="15.7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ht="15.7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ht="15.7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ht="15.7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ht="15.7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ht="15.7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ht="15.7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ht="15.7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ht="15.7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ht="15.7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ht="15.7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ht="15.7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ht="15.7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ht="15.7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ht="15.7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ht="15.7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ht="15.7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ht="15.7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ht="15.7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ht="15.7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ht="15.7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ht="15.7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ht="15.7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ht="15.7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ht="15.7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ht="15.7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ht="15.7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ht="15.7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ht="15.7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ht="15.7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ht="15.7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ht="15.7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ht="15.7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ht="15.7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ht="15.7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ht="15.7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ht="15.7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ht="15.7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ht="15.7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ht="15.7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ht="15.7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ht="15.7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ht="15.7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ht="15.7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ht="15.7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ht="15.7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ht="15.7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ht="15.7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ht="15.7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ht="15.7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ht="15.7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ht="15.7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ht="15.7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ht="15.7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ht="15.7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ht="15.7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ht="15.7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ht="15.7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ht="15.7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ht="15.7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ht="15.7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ht="15.7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ht="15.7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ht="15.7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ht="15.7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ht="15.7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ht="15.7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ht="15.7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ht="15.7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ht="15.7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ht="15.7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ht="15.7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ht="15.7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ht="15.7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ht="15.7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ht="15.7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ht="15.7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ht="15.7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ht="15.7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ht="15.7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ht="15.7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ht="15.7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ht="15.7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ht="15.7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ht="15.7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ht="15.7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ht="15.7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ht="15.7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ht="15.7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ht="15.7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ht="15.7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ht="15.7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ht="15.7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ht="15.7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ht="15.7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ht="15.7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ht="15.7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ht="15.7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ht="15.7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ht="15.7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ht="15.7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ht="15.7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ht="15.7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ht="15.7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ht="15.7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ht="15.7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ht="15.7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ht="15.7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ht="15.7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ht="15.7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ht="15.7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ht="15.7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ht="15.7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ht="15.7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ht="15.7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ht="15.7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ht="15.7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ht="15.7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ht="15.7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ht="15.7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ht="15.7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ht="15.7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ht="15.7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ht="15.7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ht="15.7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ht="15.7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ht="15.7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ht="15.7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ht="15.7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ht="15.7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ht="15.7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ht="15.7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ht="15.7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ht="15.7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ht="15.7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ht="15.7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ht="15.7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ht="15.7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ht="15.7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ht="15.7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ht="15.7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ht="15.7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ht="15.7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ht="15.7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ht="15.7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ht="15.7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ht="15.7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ht="15.7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ht="15.7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ht="15.7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ht="15.7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ht="15.7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ht="15.7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ht="15.7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ht="15.7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ht="15.7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ht="15.7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ht="15.7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ht="15.7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ht="15.7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ht="15.7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ht="15.7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ht="15.7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ht="15.7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ht="15.7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ht="15.7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ht="15.7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ht="15.7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ht="15.7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ht="15.7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ht="15.7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ht="15.7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ht="15.7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ht="15.7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ht="15.7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ht="15.7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ht="15.7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ht="15.7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ht="15.7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ht="15.7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ht="15.7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ht="15.7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ht="15.7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ht="15.7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ht="15.7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ht="15.7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ht="15.7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ht="15.7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ht="15.7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ht="15.7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ht="15.7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ht="15.7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ht="15.7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ht="15.7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ht="15.7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ht="15.7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ht="15.7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ht="15.7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ht="15.7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ht="15.7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ht="15.7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ht="15.7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ht="15.7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ht="15.7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ht="15.7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ht="15.7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ht="15.7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ht="15.7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ht="15.7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ht="15.7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ht="15.7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ht="15.7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ht="15.7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ht="15.7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ht="15.7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ht="15.7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ht="15.7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ht="15.7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ht="15.7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ht="15.7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ht="15.7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ht="15.7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ht="15.7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ht="15.7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ht="15.7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ht="15.7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ht="15.7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ht="15.7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ht="15.7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ht="15.7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ht="15.7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ht="15.7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ht="15.7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ht="15.7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ht="15.7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ht="15.7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ht="15.7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ht="15.7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ht="15.7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ht="15.7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ht="15.7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ht="15.7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ht="15.7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ht="15.7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ht="15.7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ht="15.7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ht="15.7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ht="15.7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ht="15.7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ht="15.7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ht="15.7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ht="15.7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ht="15.7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ht="15.7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ht="15.7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ht="15.7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ht="15.7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ht="15.7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ht="15.7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ht="15.7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ht="15.7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ht="15.7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ht="15.7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ht="15.7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ht="15.7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ht="15.7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ht="15.7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ht="15.7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ht="15.7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ht="15.7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ht="15.7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ht="15.7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ht="15.7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ht="15.7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ht="15.7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ht="15.7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ht="15.7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ht="15.7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ht="15.7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ht="15.7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ht="15.7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ht="15.7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ht="15.7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ht="15.7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ht="15.7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ht="15.7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ht="15.7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ht="15.7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ht="15.7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ht="15.7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ht="15.7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ht="15.7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ht="15.7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ht="15.7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ht="15.7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ht="15.7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ht="15.7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ht="15.7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ht="15.7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ht="15.7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ht="15.7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ht="15.7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ht="15.7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ht="15.7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ht="15.7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ht="15.7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ht="15.7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ht="15.7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ht="15.7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ht="15.7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ht="15.7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ht="15.7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ht="15.7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ht="15.7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ht="15.7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ht="15.7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ht="15.7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ht="15.7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ht="15.7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ht="15.7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ht="15.7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ht="15.7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ht="15.7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ht="15.7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ht="15.7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ht="15.7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ht="15.7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ht="15.7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ht="15.7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ht="15.7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ht="15.7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ht="15.7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ht="15.7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ht="15.7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ht="15.7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ht="15.7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ht="15.7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ht="15.7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ht="15.7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ht="15.7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ht="15.7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ht="15.7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ht="15.7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ht="15.7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ht="15.7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ht="15.7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ht="15.7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ht="15.7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ht="15.7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ht="15.7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ht="15.7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ht="15.7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ht="15.7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ht="15.7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ht="15.7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ht="15.7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ht="15.7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ht="15.7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ht="15.7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ht="15.7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ht="15.7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ht="15.7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ht="15.7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ht="15.7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ht="15.7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ht="15.7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ht="15.7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ht="15.7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ht="15.7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ht="15.7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ht="15.7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ht="15.7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ht="15.7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ht="15.7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ht="15.7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ht="15.7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ht="15.7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ht="15.7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ht="15.7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ht="15.7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ht="15.7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ht="15.7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ht="15.7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ht="15.7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ht="15.7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ht="15.7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ht="15.7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ht="15.7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ht="15.7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ht="15.7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ht="15.7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ht="15.7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ht="15.7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ht="15.7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ht="15.7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ht="15.7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ht="15.7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ht="15.7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ht="15.7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ht="15.7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ht="15.7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ht="15.7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ht="15.7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ht="15.7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ht="15.7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ht="15.7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ht="15.7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ht="15.7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ht="15.7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ht="15.7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ht="15.7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ht="15.7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ht="15.7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ht="15.7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ht="15.7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ht="15.7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ht="15.7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ht="15.7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ht="15.7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ht="15.7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ht="15.7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ht="15.7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ht="15.7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ht="15.7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ht="15.7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ht="15.7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ht="15.7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ht="15.7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ht="15.7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ht="15.7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ht="15.7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ht="15.7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ht="15.7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ht="15.7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ht="15.7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ht="15.7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ht="15.7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ht="15.7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ht="15.7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ht="15.7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ht="15.7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ht="15.7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ht="15.7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ht="15.7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ht="15.7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ht="15.7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ht="15.7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ht="15.7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ht="15.7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ht="15.7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ht="15.7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ht="15.7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ht="15.7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ht="15.7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ht="15.7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ht="15.7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ht="15.7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ht="15.7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ht="15.7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ht="15.7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ht="15.7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ht="15.7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ht="15.7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ht="15.7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ht="15.7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ht="15.7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ht="15.7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ht="15.7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ht="15.7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ht="15.7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ht="15.7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ht="15.7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ht="15.7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ht="15.7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ht="15.7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ht="15.7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ht="15.7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ht="15.7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ht="15.7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ht="15.7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ht="15.7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ht="15.7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ht="15.7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ht="15.7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ht="15.7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ht="15.7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ht="15.7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ht="15.7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ht="15.7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ht="15.7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ht="15.7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ht="15.7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ht="15.7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ht="15.7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ht="15.7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ht="15.7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ht="15.7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ht="15.7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ht="15.7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ht="15.7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ht="15.7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ht="15.7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ht="15.7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ht="15.7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ht="15.7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ht="15.7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ht="15.7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ht="15.7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ht="15.7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ht="15.7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ht="15.7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ht="15.7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ht="15.7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ht="15.7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ht="15.7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ht="15.7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ht="15.7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ht="15.7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ht="15.7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ht="15.7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ht="15.7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ht="15.7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ht="15.7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ht="15.7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ht="15.7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ht="15.7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ht="15.7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ht="15.7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ht="15.7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ht="15.7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ht="15.7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ht="15.7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ht="15.7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ht="15.7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ht="15.7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ht="15.7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ht="15.7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ht="15.7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ht="15.7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ht="15.7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ht="15.7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ht="15.7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ht="15.7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ht="15.7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ht="15.7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ht="15.7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ht="15.7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ht="15.7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ht="15.7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ht="15.7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ht="15.7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ht="15.7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ht="15.7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ht="15.7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ht="15.7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ht="15.7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ht="15.7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ht="15.7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ht="15.7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ht="15.7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ht="15.7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ht="15.7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ht="15.7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ht="15.7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ht="15.7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ht="15.7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ht="15.7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ht="15.7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ht="15.7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ht="15.7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ht="15.7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ht="15.7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ht="15.7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ht="15.7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ht="15.7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ht="15.7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ht="15.7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ht="15.7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ht="15.7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ht="15.7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ht="15.7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ht="15.7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ht="15.7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ht="15.7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ht="15.7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ht="15.7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ht="15.7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ht="15.7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ht="15.7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ht="15.7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ht="15.7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ht="15.7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ht="15.7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ht="15.7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ht="15.75"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ht="15.75"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ht="15.75"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ht="15.75" customHeight="1">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ht="15.75" customHeight="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ht="15.75" customHeight="1">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ht="15.75" customHeight="1">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ht="15.75" customHeight="1">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ht="15.75" customHeight="1">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ht="15.75" customHeight="1">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ht="15.75" customHeight="1">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ht="15.75" customHeight="1">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ht="15.75" customHeight="1">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ht="15.75" customHeight="1">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mergeCells count="1">
    <mergeCell ref="A23:C23"/>
  </mergeCells>
  <printOptions/>
  <pageMargins bottom="1.0" footer="0.0" header="0.0" left="0.75" right="0.75" top="1.0"/>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8.0"/>
    <col customWidth="1" min="2" max="2" width="30.0"/>
    <col customWidth="1" min="3" max="3" width="26.0"/>
    <col customWidth="1" min="4" max="5" width="60.0"/>
    <col customWidth="1" min="6" max="6" width="80.0"/>
    <col customWidth="1" min="7" max="26" width="8.71"/>
  </cols>
  <sheetData>
    <row r="1">
      <c r="A1" s="132" t="s">
        <v>1593</v>
      </c>
      <c r="B1" s="132" t="s">
        <v>1594</v>
      </c>
      <c r="C1" s="132" t="s">
        <v>1595</v>
      </c>
      <c r="D1" s="132" t="s">
        <v>1596</v>
      </c>
      <c r="E1" s="132" t="s">
        <v>1597</v>
      </c>
      <c r="F1" s="132" t="s">
        <v>1598</v>
      </c>
    </row>
    <row r="2">
      <c r="A2" s="21">
        <v>2.0</v>
      </c>
      <c r="B2" s="21" t="s">
        <v>85</v>
      </c>
      <c r="C2" s="21" t="s">
        <v>71</v>
      </c>
      <c r="D2" s="21" t="s">
        <v>1599</v>
      </c>
      <c r="E2" s="21" t="s">
        <v>176</v>
      </c>
      <c r="F2" s="21" t="s">
        <v>1600</v>
      </c>
    </row>
    <row r="3">
      <c r="A3" s="21">
        <v>12.0</v>
      </c>
      <c r="B3" s="21" t="s">
        <v>437</v>
      </c>
      <c r="C3" s="21" t="s">
        <v>71</v>
      </c>
      <c r="D3" s="21" t="s">
        <v>1601</v>
      </c>
      <c r="E3" s="21" t="s">
        <v>630</v>
      </c>
      <c r="F3" s="21" t="s">
        <v>1600</v>
      </c>
    </row>
    <row r="4">
      <c r="A4" s="21">
        <v>22.0</v>
      </c>
      <c r="B4" s="21" t="s">
        <v>610</v>
      </c>
      <c r="C4" s="21" t="s">
        <v>71</v>
      </c>
      <c r="D4" s="21" t="s">
        <v>1602</v>
      </c>
      <c r="E4" s="21" t="s">
        <v>630</v>
      </c>
      <c r="F4" s="21" t="s">
        <v>1600</v>
      </c>
    </row>
    <row r="5">
      <c r="A5" s="21">
        <v>26.0</v>
      </c>
      <c r="B5" s="21" t="s">
        <v>674</v>
      </c>
      <c r="C5" s="21" t="s">
        <v>71</v>
      </c>
      <c r="D5" s="21" t="s">
        <v>1603</v>
      </c>
      <c r="E5" s="21" t="s">
        <v>690</v>
      </c>
      <c r="F5" s="21" t="s">
        <v>1600</v>
      </c>
    </row>
    <row r="6">
      <c r="A6" s="21">
        <v>27.0</v>
      </c>
      <c r="B6" s="21" t="s">
        <v>695</v>
      </c>
      <c r="C6" s="21" t="s">
        <v>71</v>
      </c>
      <c r="D6" s="21" t="s">
        <v>1604</v>
      </c>
      <c r="E6" s="21" t="s">
        <v>232</v>
      </c>
      <c r="F6" s="21" t="s">
        <v>1600</v>
      </c>
    </row>
    <row r="7">
      <c r="A7" s="21">
        <v>29.0</v>
      </c>
      <c r="B7" s="21" t="s">
        <v>730</v>
      </c>
      <c r="C7" s="21" t="s">
        <v>71</v>
      </c>
      <c r="D7" s="21" t="s">
        <v>1603</v>
      </c>
      <c r="E7" s="21" t="s">
        <v>690</v>
      </c>
      <c r="F7" s="21" t="s">
        <v>1600</v>
      </c>
    </row>
    <row r="8">
      <c r="A8" s="21">
        <v>34.0</v>
      </c>
      <c r="B8" s="21" t="s">
        <v>810</v>
      </c>
      <c r="C8" s="21" t="s">
        <v>71</v>
      </c>
      <c r="D8" s="21" t="s">
        <v>1604</v>
      </c>
      <c r="E8" s="21" t="s">
        <v>232</v>
      </c>
      <c r="F8" s="21" t="s">
        <v>1600</v>
      </c>
    </row>
    <row r="9">
      <c r="A9" s="21">
        <v>38.0</v>
      </c>
      <c r="B9" s="21" t="s">
        <v>897</v>
      </c>
      <c r="C9" s="21" t="s">
        <v>71</v>
      </c>
      <c r="D9" s="21" t="s">
        <v>1604</v>
      </c>
      <c r="E9" s="21" t="s">
        <v>232</v>
      </c>
      <c r="F9" s="21" t="s">
        <v>1600</v>
      </c>
    </row>
    <row r="10">
      <c r="A10" s="21">
        <v>41.0</v>
      </c>
      <c r="B10" s="21" t="s">
        <v>916</v>
      </c>
      <c r="C10" s="21" t="s">
        <v>71</v>
      </c>
      <c r="D10" s="21" t="s">
        <v>1605</v>
      </c>
      <c r="E10" s="21" t="s">
        <v>486</v>
      </c>
      <c r="F10" s="21" t="s">
        <v>1600</v>
      </c>
    </row>
    <row r="11">
      <c r="A11" s="21">
        <v>42.0</v>
      </c>
      <c r="B11" s="21" t="s">
        <v>923</v>
      </c>
      <c r="C11" s="21" t="s">
        <v>71</v>
      </c>
      <c r="D11" s="21" t="s">
        <v>1606</v>
      </c>
      <c r="E11" s="21" t="s">
        <v>983</v>
      </c>
      <c r="F11" s="21" t="s">
        <v>1600</v>
      </c>
    </row>
    <row r="12">
      <c r="A12" s="21">
        <v>45.0</v>
      </c>
      <c r="B12" s="21" t="s">
        <v>938</v>
      </c>
      <c r="C12" s="21" t="s">
        <v>71</v>
      </c>
      <c r="D12" s="21" t="s">
        <v>1605</v>
      </c>
      <c r="E12" s="21" t="s">
        <v>486</v>
      </c>
      <c r="F12" s="21" t="s">
        <v>1600</v>
      </c>
    </row>
    <row r="13">
      <c r="A13" s="21">
        <v>48.0</v>
      </c>
      <c r="B13" s="21" t="s">
        <v>953</v>
      </c>
      <c r="C13" s="21" t="s">
        <v>71</v>
      </c>
      <c r="D13" s="21" t="s">
        <v>1604</v>
      </c>
      <c r="E13" s="21" t="s">
        <v>232</v>
      </c>
      <c r="F13" s="21" t="s">
        <v>1600</v>
      </c>
    </row>
    <row r="14">
      <c r="A14" s="21">
        <v>51.0</v>
      </c>
      <c r="B14" s="21" t="s">
        <v>982</v>
      </c>
      <c r="C14" s="21" t="s">
        <v>71</v>
      </c>
      <c r="D14" s="21" t="s">
        <v>1607</v>
      </c>
      <c r="E14" s="21" t="s">
        <v>429</v>
      </c>
      <c r="F14" s="21" t="s">
        <v>1600</v>
      </c>
    </row>
    <row r="15">
      <c r="A15" s="21">
        <v>59.0</v>
      </c>
      <c r="B15" s="21" t="s">
        <v>1028</v>
      </c>
      <c r="C15" s="21" t="s">
        <v>71</v>
      </c>
      <c r="D15" s="21" t="s">
        <v>1599</v>
      </c>
      <c r="E15" s="21" t="s">
        <v>176</v>
      </c>
      <c r="F15" s="21" t="s">
        <v>1600</v>
      </c>
    </row>
    <row r="16">
      <c r="A16" s="21">
        <v>61.0</v>
      </c>
      <c r="B16" s="21" t="s">
        <v>1006</v>
      </c>
      <c r="C16" s="21" t="s">
        <v>71</v>
      </c>
      <c r="D16" s="21" t="s">
        <v>1608</v>
      </c>
      <c r="E16" s="21" t="s">
        <v>486</v>
      </c>
      <c r="F16" s="21" t="s">
        <v>1600</v>
      </c>
    </row>
    <row r="17">
      <c r="A17" s="21">
        <v>62.0</v>
      </c>
      <c r="B17" s="21" t="s">
        <v>1044</v>
      </c>
      <c r="C17" s="21" t="s">
        <v>71</v>
      </c>
      <c r="D17" s="21" t="s">
        <v>1603</v>
      </c>
      <c r="E17" s="21" t="s">
        <v>690</v>
      </c>
      <c r="F17" s="21" t="s">
        <v>1600</v>
      </c>
    </row>
    <row r="18">
      <c r="A18" s="21">
        <v>65.0</v>
      </c>
      <c r="B18" s="21" t="s">
        <v>473</v>
      </c>
      <c r="C18" s="21" t="s">
        <v>71</v>
      </c>
      <c r="D18" s="21" t="s">
        <v>1608</v>
      </c>
      <c r="E18" s="21" t="s">
        <v>486</v>
      </c>
      <c r="F18" s="21" t="s">
        <v>1600</v>
      </c>
    </row>
    <row r="19">
      <c r="A19" s="21">
        <v>67.0</v>
      </c>
      <c r="B19" s="21" t="s">
        <v>1077</v>
      </c>
      <c r="C19" s="21" t="s">
        <v>71</v>
      </c>
      <c r="D19" s="21" t="s">
        <v>1604</v>
      </c>
      <c r="E19" s="21" t="s">
        <v>232</v>
      </c>
      <c r="F19" s="21" t="s">
        <v>1600</v>
      </c>
    </row>
    <row r="20">
      <c r="A20" s="21">
        <v>68.0</v>
      </c>
      <c r="B20" s="21" t="s">
        <v>1087</v>
      </c>
      <c r="C20" s="21" t="s">
        <v>71</v>
      </c>
      <c r="D20" s="21" t="s">
        <v>1603</v>
      </c>
      <c r="E20" s="21" t="s">
        <v>690</v>
      </c>
      <c r="F20" s="21" t="s">
        <v>1600</v>
      </c>
    </row>
    <row r="21" ht="15.75" customHeight="1">
      <c r="A21" s="21">
        <v>71.0</v>
      </c>
      <c r="B21" s="21" t="s">
        <v>1104</v>
      </c>
      <c r="C21" s="21" t="s">
        <v>71</v>
      </c>
      <c r="D21" s="21" t="s">
        <v>1604</v>
      </c>
      <c r="E21" s="21" t="s">
        <v>232</v>
      </c>
      <c r="F21" s="21" t="s">
        <v>1600</v>
      </c>
    </row>
    <row r="22" ht="15.75" customHeight="1">
      <c r="A22" s="21">
        <v>78.0</v>
      </c>
      <c r="B22" s="21" t="s">
        <v>996</v>
      </c>
      <c r="C22" s="21" t="s">
        <v>71</v>
      </c>
      <c r="D22" s="21" t="s">
        <v>1609</v>
      </c>
      <c r="E22" s="21" t="s">
        <v>176</v>
      </c>
      <c r="F22" s="21" t="s">
        <v>1600</v>
      </c>
    </row>
    <row r="23" ht="15.75" customHeight="1">
      <c r="A23" s="21">
        <v>81.0</v>
      </c>
      <c r="B23" s="21" t="s">
        <v>1414</v>
      </c>
      <c r="C23" s="21" t="s">
        <v>71</v>
      </c>
      <c r="D23" s="21" t="s">
        <v>1609</v>
      </c>
      <c r="E23" s="21" t="s">
        <v>176</v>
      </c>
      <c r="F23" s="21" t="s">
        <v>1600</v>
      </c>
    </row>
    <row r="24" ht="15.75" customHeight="1">
      <c r="A24" s="21">
        <v>83.0</v>
      </c>
      <c r="B24" s="21" t="s">
        <v>872</v>
      </c>
      <c r="C24" s="21" t="s">
        <v>71</v>
      </c>
      <c r="D24" s="21" t="s">
        <v>1599</v>
      </c>
      <c r="E24" s="21" t="s">
        <v>176</v>
      </c>
      <c r="F24" s="21" t="s">
        <v>1600</v>
      </c>
    </row>
    <row r="25" ht="15.75" customHeight="1">
      <c r="A25" s="21">
        <v>86.0</v>
      </c>
      <c r="B25" s="21" t="s">
        <v>1148</v>
      </c>
      <c r="C25" s="21" t="s">
        <v>71</v>
      </c>
      <c r="D25" s="21" t="s">
        <v>1599</v>
      </c>
      <c r="E25" s="21" t="s">
        <v>176</v>
      </c>
      <c r="F25" s="21" t="s">
        <v>1600</v>
      </c>
    </row>
    <row r="26" ht="15.75" customHeight="1">
      <c r="A26" s="21">
        <v>92.0</v>
      </c>
      <c r="B26" s="21" t="s">
        <v>1206</v>
      </c>
      <c r="C26" s="21" t="s">
        <v>71</v>
      </c>
      <c r="D26" s="21" t="s">
        <v>1604</v>
      </c>
      <c r="E26" s="21" t="s">
        <v>232</v>
      </c>
      <c r="F26" s="21" t="s">
        <v>1600</v>
      </c>
    </row>
    <row r="27" ht="15.75" customHeight="1">
      <c r="A27" s="21">
        <v>93.0</v>
      </c>
      <c r="B27" s="21" t="s">
        <v>1210</v>
      </c>
      <c r="C27" s="21" t="s">
        <v>71</v>
      </c>
      <c r="D27" s="21" t="s">
        <v>1599</v>
      </c>
      <c r="E27" s="21" t="s">
        <v>176</v>
      </c>
      <c r="F27" s="21" t="s">
        <v>1600</v>
      </c>
    </row>
    <row r="28" ht="15.75" customHeight="1">
      <c r="A28" s="21">
        <v>95.0</v>
      </c>
      <c r="B28" s="21" t="s">
        <v>1221</v>
      </c>
      <c r="C28" s="21" t="s">
        <v>71</v>
      </c>
      <c r="D28" s="21" t="s">
        <v>1604</v>
      </c>
      <c r="E28" s="21" t="s">
        <v>232</v>
      </c>
      <c r="F28" s="21" t="s">
        <v>1600</v>
      </c>
    </row>
    <row r="29" ht="15.75" customHeight="1">
      <c r="A29" s="21">
        <v>98.0</v>
      </c>
      <c r="B29" s="21" t="s">
        <v>1234</v>
      </c>
      <c r="C29" s="21" t="s">
        <v>71</v>
      </c>
      <c r="D29" s="21" t="s">
        <v>1604</v>
      </c>
      <c r="E29" s="21" t="s">
        <v>232</v>
      </c>
      <c r="F29" s="21" t="s">
        <v>1600</v>
      </c>
    </row>
    <row r="30" ht="15.75" customHeight="1">
      <c r="A30" s="21">
        <v>99.0</v>
      </c>
      <c r="B30" s="21" t="s">
        <v>1237</v>
      </c>
      <c r="C30" s="21" t="s">
        <v>71</v>
      </c>
      <c r="D30" s="21" t="s">
        <v>1599</v>
      </c>
      <c r="E30" s="21" t="s">
        <v>176</v>
      </c>
      <c r="F30" s="21" t="s">
        <v>1600</v>
      </c>
    </row>
    <row r="31" ht="15.75" customHeight="1">
      <c r="A31" s="21">
        <v>100.0</v>
      </c>
      <c r="B31" s="21" t="s">
        <v>1240</v>
      </c>
      <c r="C31" s="21" t="s">
        <v>71</v>
      </c>
      <c r="D31" s="21" t="s">
        <v>1605</v>
      </c>
      <c r="E31" s="21" t="s">
        <v>486</v>
      </c>
      <c r="F31" s="21" t="s">
        <v>1600</v>
      </c>
    </row>
    <row r="32" ht="15.75" customHeight="1">
      <c r="A32" s="21">
        <v>102.0</v>
      </c>
      <c r="B32" s="21" t="s">
        <v>1248</v>
      </c>
      <c r="C32" s="21" t="s">
        <v>71</v>
      </c>
      <c r="D32" s="21" t="s">
        <v>1604</v>
      </c>
      <c r="E32" s="21" t="s">
        <v>232</v>
      </c>
      <c r="F32" s="21" t="s">
        <v>1600</v>
      </c>
    </row>
    <row r="33" ht="15.75" customHeight="1">
      <c r="A33" s="21">
        <v>104.0</v>
      </c>
      <c r="B33" s="21" t="s">
        <v>1259</v>
      </c>
      <c r="C33" s="21" t="s">
        <v>71</v>
      </c>
      <c r="D33" s="21" t="s">
        <v>1604</v>
      </c>
      <c r="E33" s="21" t="s">
        <v>232</v>
      </c>
      <c r="F33" s="21" t="s">
        <v>1600</v>
      </c>
    </row>
    <row r="34" ht="15.75" customHeight="1">
      <c r="A34" s="21">
        <v>105.0</v>
      </c>
      <c r="B34" s="21" t="s">
        <v>1262</v>
      </c>
      <c r="C34" s="21" t="s">
        <v>71</v>
      </c>
      <c r="D34" s="21" t="s">
        <v>1604</v>
      </c>
      <c r="E34" s="21" t="s">
        <v>232</v>
      </c>
      <c r="F34" s="21" t="s">
        <v>1600</v>
      </c>
    </row>
    <row r="35" ht="15.75" customHeight="1">
      <c r="A35" s="21">
        <v>107.0</v>
      </c>
      <c r="B35" s="21" t="s">
        <v>1274</v>
      </c>
      <c r="C35" s="21" t="s">
        <v>71</v>
      </c>
      <c r="D35" s="21" t="s">
        <v>1604</v>
      </c>
      <c r="E35" s="21" t="s">
        <v>232</v>
      </c>
      <c r="F35" s="21" t="s">
        <v>1600</v>
      </c>
    </row>
    <row r="36" ht="15.75" customHeight="1">
      <c r="A36" s="21">
        <v>108.0</v>
      </c>
      <c r="B36" s="21" t="s">
        <v>1281</v>
      </c>
      <c r="C36" s="21" t="s">
        <v>71</v>
      </c>
      <c r="D36" s="21" t="s">
        <v>1604</v>
      </c>
      <c r="E36" s="21" t="s">
        <v>232</v>
      </c>
      <c r="F36" s="21" t="s">
        <v>1600</v>
      </c>
    </row>
    <row r="37" ht="15.75" customHeight="1">
      <c r="A37" s="21">
        <v>2.0</v>
      </c>
      <c r="B37" s="21" t="s">
        <v>85</v>
      </c>
      <c r="C37" s="21" t="s">
        <v>73</v>
      </c>
      <c r="D37" s="21" t="s">
        <v>1610</v>
      </c>
      <c r="E37" s="21" t="s">
        <v>1611</v>
      </c>
      <c r="F37" s="21" t="s">
        <v>1612</v>
      </c>
    </row>
    <row r="38" ht="15.75" customHeight="1">
      <c r="A38" s="21">
        <v>4.0</v>
      </c>
      <c r="B38" s="21" t="s">
        <v>247</v>
      </c>
      <c r="C38" s="21" t="s">
        <v>73</v>
      </c>
      <c r="D38" s="21" t="s">
        <v>1613</v>
      </c>
      <c r="E38" s="21" t="s">
        <v>1614</v>
      </c>
      <c r="F38" s="21" t="s">
        <v>1612</v>
      </c>
    </row>
    <row r="39" ht="15.75" customHeight="1">
      <c r="A39" s="21">
        <v>5.0</v>
      </c>
      <c r="B39" s="21" t="s">
        <v>290</v>
      </c>
      <c r="C39" s="21" t="s">
        <v>73</v>
      </c>
      <c r="D39" s="21" t="s">
        <v>1615</v>
      </c>
      <c r="E39" s="21" t="s">
        <v>1616</v>
      </c>
      <c r="F39" s="21" t="s">
        <v>1612</v>
      </c>
    </row>
    <row r="40" ht="15.75" customHeight="1">
      <c r="A40" s="21">
        <v>6.0</v>
      </c>
      <c r="B40" s="21" t="s">
        <v>325</v>
      </c>
      <c r="C40" s="21" t="s">
        <v>73</v>
      </c>
      <c r="D40" s="21" t="s">
        <v>1617</v>
      </c>
      <c r="E40" s="21" t="s">
        <v>1618</v>
      </c>
      <c r="F40" s="21" t="s">
        <v>1612</v>
      </c>
    </row>
    <row r="41" ht="15.75" customHeight="1">
      <c r="A41" s="21">
        <v>7.0</v>
      </c>
      <c r="B41" s="21" t="s">
        <v>360</v>
      </c>
      <c r="C41" s="21" t="s">
        <v>73</v>
      </c>
      <c r="D41" s="21" t="s">
        <v>1617</v>
      </c>
      <c r="E41" s="21" t="s">
        <v>1618</v>
      </c>
      <c r="F41" s="21" t="s">
        <v>1612</v>
      </c>
    </row>
    <row r="42" ht="15.75" customHeight="1">
      <c r="A42" s="21">
        <v>8.0</v>
      </c>
      <c r="B42" s="21" t="s">
        <v>374</v>
      </c>
      <c r="C42" s="21" t="s">
        <v>73</v>
      </c>
      <c r="D42" s="21" t="s">
        <v>1615</v>
      </c>
      <c r="E42" s="21" t="s">
        <v>1616</v>
      </c>
      <c r="F42" s="21" t="s">
        <v>1612</v>
      </c>
    </row>
    <row r="43" ht="15.75" customHeight="1">
      <c r="A43" s="21">
        <v>10.0</v>
      </c>
      <c r="B43" s="21" t="s">
        <v>417</v>
      </c>
      <c r="C43" s="21" t="s">
        <v>73</v>
      </c>
      <c r="D43" s="21" t="s">
        <v>1610</v>
      </c>
      <c r="E43" s="21" t="s">
        <v>1611</v>
      </c>
      <c r="F43" s="21" t="s">
        <v>1612</v>
      </c>
    </row>
    <row r="44" ht="15.75" customHeight="1">
      <c r="A44" s="21">
        <v>11.0</v>
      </c>
      <c r="B44" s="21" t="s">
        <v>431</v>
      </c>
      <c r="C44" s="21" t="s">
        <v>73</v>
      </c>
      <c r="D44" s="21" t="s">
        <v>1617</v>
      </c>
      <c r="E44" s="21" t="s">
        <v>1618</v>
      </c>
      <c r="F44" s="21" t="s">
        <v>1612</v>
      </c>
    </row>
    <row r="45" ht="15.75" customHeight="1">
      <c r="A45" s="21">
        <v>12.0</v>
      </c>
      <c r="B45" s="21" t="s">
        <v>437</v>
      </c>
      <c r="C45" s="21" t="s">
        <v>73</v>
      </c>
      <c r="D45" s="21" t="s">
        <v>1610</v>
      </c>
      <c r="E45" s="21" t="s">
        <v>1611</v>
      </c>
      <c r="F45" s="21" t="s">
        <v>1612</v>
      </c>
    </row>
    <row r="46" ht="15.75" customHeight="1">
      <c r="A46" s="21">
        <v>13.0</v>
      </c>
      <c r="B46" s="21" t="s">
        <v>454</v>
      </c>
      <c r="C46" s="21" t="s">
        <v>73</v>
      </c>
      <c r="D46" s="21" t="s">
        <v>1610</v>
      </c>
      <c r="E46" s="21" t="s">
        <v>1611</v>
      </c>
      <c r="F46" s="21" t="s">
        <v>1612</v>
      </c>
    </row>
    <row r="47" ht="15.75" customHeight="1">
      <c r="A47" s="21">
        <v>14.0</v>
      </c>
      <c r="B47" s="21" t="s">
        <v>472</v>
      </c>
      <c r="C47" s="21" t="s">
        <v>73</v>
      </c>
      <c r="D47" s="21" t="s">
        <v>1610</v>
      </c>
      <c r="E47" s="21" t="s">
        <v>1611</v>
      </c>
      <c r="F47" s="21" t="s">
        <v>1612</v>
      </c>
    </row>
    <row r="48" ht="15.75" customHeight="1">
      <c r="A48" s="21">
        <v>16.0</v>
      </c>
      <c r="B48" s="21" t="s">
        <v>501</v>
      </c>
      <c r="C48" s="21" t="s">
        <v>73</v>
      </c>
      <c r="D48" s="21" t="s">
        <v>1610</v>
      </c>
      <c r="E48" s="21" t="s">
        <v>1611</v>
      </c>
      <c r="F48" s="21" t="s">
        <v>1612</v>
      </c>
    </row>
    <row r="49" ht="15.75" customHeight="1">
      <c r="A49" s="21">
        <v>17.0</v>
      </c>
      <c r="B49" s="21" t="s">
        <v>519</v>
      </c>
      <c r="C49" s="21" t="s">
        <v>73</v>
      </c>
      <c r="D49" s="21" t="s">
        <v>1610</v>
      </c>
      <c r="E49" s="21" t="s">
        <v>1611</v>
      </c>
      <c r="F49" s="21" t="s">
        <v>1612</v>
      </c>
    </row>
    <row r="50" ht="15.75" customHeight="1">
      <c r="A50" s="21">
        <v>18.0</v>
      </c>
      <c r="B50" s="21" t="s">
        <v>539</v>
      </c>
      <c r="C50" s="21" t="s">
        <v>73</v>
      </c>
      <c r="D50" s="21" t="s">
        <v>1610</v>
      </c>
      <c r="E50" s="21" t="s">
        <v>1611</v>
      </c>
      <c r="F50" s="21" t="s">
        <v>1612</v>
      </c>
    </row>
    <row r="51" ht="15.75" customHeight="1">
      <c r="A51" s="21">
        <v>19.0</v>
      </c>
      <c r="B51" s="21" t="s">
        <v>556</v>
      </c>
      <c r="C51" s="21" t="s">
        <v>73</v>
      </c>
      <c r="D51" s="21" t="s">
        <v>1610</v>
      </c>
      <c r="E51" s="21" t="s">
        <v>1611</v>
      </c>
      <c r="F51" s="21" t="s">
        <v>1612</v>
      </c>
    </row>
    <row r="52" ht="15.75" customHeight="1">
      <c r="A52" s="21">
        <v>20.0</v>
      </c>
      <c r="B52" s="21" t="s">
        <v>571</v>
      </c>
      <c r="C52" s="21" t="s">
        <v>73</v>
      </c>
      <c r="D52" s="21" t="s">
        <v>1615</v>
      </c>
      <c r="E52" s="21" t="s">
        <v>1616</v>
      </c>
      <c r="F52" s="21" t="s">
        <v>1612</v>
      </c>
    </row>
    <row r="53" ht="15.75" customHeight="1">
      <c r="A53" s="21">
        <v>21.0</v>
      </c>
      <c r="B53" s="21" t="s">
        <v>591</v>
      </c>
      <c r="C53" s="21" t="s">
        <v>73</v>
      </c>
      <c r="D53" s="21" t="s">
        <v>1615</v>
      </c>
      <c r="E53" s="21" t="s">
        <v>1616</v>
      </c>
      <c r="F53" s="21" t="s">
        <v>1612</v>
      </c>
    </row>
    <row r="54" ht="15.75" customHeight="1">
      <c r="A54" s="21">
        <v>22.0</v>
      </c>
      <c r="B54" s="21" t="s">
        <v>610</v>
      </c>
      <c r="C54" s="21" t="s">
        <v>73</v>
      </c>
      <c r="D54" s="21" t="s">
        <v>1617</v>
      </c>
      <c r="E54" s="21" t="s">
        <v>1618</v>
      </c>
      <c r="F54" s="21" t="s">
        <v>1612</v>
      </c>
    </row>
    <row r="55" ht="15.75" customHeight="1">
      <c r="A55" s="21">
        <v>23.0</v>
      </c>
      <c r="B55" s="21" t="s">
        <v>634</v>
      </c>
      <c r="C55" s="21" t="s">
        <v>73</v>
      </c>
      <c r="D55" s="21" t="s">
        <v>1610</v>
      </c>
      <c r="E55" s="21" t="s">
        <v>1611</v>
      </c>
      <c r="F55" s="21" t="s">
        <v>1612</v>
      </c>
    </row>
    <row r="56" ht="15.75" customHeight="1">
      <c r="A56" s="21">
        <v>24.0</v>
      </c>
      <c r="B56" s="21" t="s">
        <v>643</v>
      </c>
      <c r="C56" s="21" t="s">
        <v>73</v>
      </c>
      <c r="D56" s="21" t="s">
        <v>1613</v>
      </c>
      <c r="E56" s="21" t="s">
        <v>1614</v>
      </c>
      <c r="F56" s="21" t="s">
        <v>1612</v>
      </c>
    </row>
    <row r="57" ht="15.75" customHeight="1">
      <c r="A57" s="21">
        <v>25.0</v>
      </c>
      <c r="B57" s="21" t="s">
        <v>661</v>
      </c>
      <c r="C57" s="21" t="s">
        <v>73</v>
      </c>
      <c r="D57" s="21" t="s">
        <v>1613</v>
      </c>
      <c r="E57" s="21" t="s">
        <v>1614</v>
      </c>
      <c r="F57" s="21" t="s">
        <v>1612</v>
      </c>
    </row>
    <row r="58" ht="15.75" customHeight="1">
      <c r="A58" s="21">
        <v>26.0</v>
      </c>
      <c r="B58" s="21" t="s">
        <v>674</v>
      </c>
      <c r="C58" s="21" t="s">
        <v>73</v>
      </c>
      <c r="D58" s="21" t="s">
        <v>1610</v>
      </c>
      <c r="E58" s="21" t="s">
        <v>1611</v>
      </c>
      <c r="F58" s="21" t="s">
        <v>1612</v>
      </c>
    </row>
    <row r="59" ht="15.75" customHeight="1">
      <c r="A59" s="21">
        <v>27.0</v>
      </c>
      <c r="B59" s="21" t="s">
        <v>695</v>
      </c>
      <c r="C59" s="21" t="s">
        <v>73</v>
      </c>
      <c r="D59" s="21" t="s">
        <v>1610</v>
      </c>
      <c r="E59" s="21" t="s">
        <v>1611</v>
      </c>
      <c r="F59" s="21" t="s">
        <v>1612</v>
      </c>
    </row>
    <row r="60" ht="15.75" customHeight="1">
      <c r="A60" s="21">
        <v>28.0</v>
      </c>
      <c r="B60" s="21" t="s">
        <v>717</v>
      </c>
      <c r="C60" s="21" t="s">
        <v>73</v>
      </c>
      <c r="D60" s="21" t="s">
        <v>1615</v>
      </c>
      <c r="E60" s="21" t="s">
        <v>1616</v>
      </c>
      <c r="F60" s="21" t="s">
        <v>1612</v>
      </c>
    </row>
    <row r="61" ht="15.75" customHeight="1">
      <c r="A61" s="21">
        <v>29.0</v>
      </c>
      <c r="B61" s="21" t="s">
        <v>730</v>
      </c>
      <c r="C61" s="21" t="s">
        <v>73</v>
      </c>
      <c r="D61" s="21" t="s">
        <v>1619</v>
      </c>
      <c r="E61" s="21" t="s">
        <v>1620</v>
      </c>
      <c r="F61" s="21" t="s">
        <v>1612</v>
      </c>
    </row>
    <row r="62" ht="15.75" customHeight="1">
      <c r="A62" s="21">
        <v>30.0</v>
      </c>
      <c r="B62" s="21" t="s">
        <v>744</v>
      </c>
      <c r="C62" s="21" t="s">
        <v>73</v>
      </c>
      <c r="D62" s="21" t="s">
        <v>1613</v>
      </c>
      <c r="E62" s="21" t="s">
        <v>1614</v>
      </c>
      <c r="F62" s="21" t="s">
        <v>1612</v>
      </c>
    </row>
    <row r="63" ht="15.75" customHeight="1">
      <c r="A63" s="21">
        <v>31.0</v>
      </c>
      <c r="B63" s="21" t="s">
        <v>761</v>
      </c>
      <c r="C63" s="21" t="s">
        <v>73</v>
      </c>
      <c r="D63" s="21" t="s">
        <v>1615</v>
      </c>
      <c r="E63" s="21" t="s">
        <v>1616</v>
      </c>
      <c r="F63" s="21" t="s">
        <v>1612</v>
      </c>
    </row>
    <row r="64" ht="15.75" customHeight="1">
      <c r="A64" s="21">
        <v>32.0</v>
      </c>
      <c r="B64" s="21" t="s">
        <v>772</v>
      </c>
      <c r="C64" s="21" t="s">
        <v>73</v>
      </c>
      <c r="D64" s="21" t="s">
        <v>1610</v>
      </c>
      <c r="E64" s="21" t="s">
        <v>1611</v>
      </c>
      <c r="F64" s="21" t="s">
        <v>1612</v>
      </c>
    </row>
    <row r="65" ht="15.75" customHeight="1">
      <c r="A65" s="21">
        <v>33.0</v>
      </c>
      <c r="B65" s="21" t="s">
        <v>788</v>
      </c>
      <c r="C65" s="21" t="s">
        <v>73</v>
      </c>
      <c r="D65" s="21" t="s">
        <v>1613</v>
      </c>
      <c r="E65" s="21" t="s">
        <v>1614</v>
      </c>
      <c r="F65" s="21" t="s">
        <v>1612</v>
      </c>
    </row>
    <row r="66" ht="15.75" customHeight="1">
      <c r="A66" s="21">
        <v>34.0</v>
      </c>
      <c r="B66" s="21" t="s">
        <v>810</v>
      </c>
      <c r="C66" s="21" t="s">
        <v>73</v>
      </c>
      <c r="D66" s="21" t="s">
        <v>1619</v>
      </c>
      <c r="E66" s="21" t="s">
        <v>1620</v>
      </c>
      <c r="F66" s="21" t="s">
        <v>1612</v>
      </c>
    </row>
    <row r="67" ht="15.75" customHeight="1">
      <c r="A67" s="21">
        <v>35.0</v>
      </c>
      <c r="B67" s="21" t="s">
        <v>832</v>
      </c>
      <c r="C67" s="21" t="s">
        <v>73</v>
      </c>
      <c r="D67" s="21" t="s">
        <v>1615</v>
      </c>
      <c r="E67" s="21" t="s">
        <v>1616</v>
      </c>
      <c r="F67" s="21" t="s">
        <v>1612</v>
      </c>
    </row>
    <row r="68" ht="15.75" customHeight="1">
      <c r="A68" s="21">
        <v>36.0</v>
      </c>
      <c r="B68" s="21" t="s">
        <v>852</v>
      </c>
      <c r="C68" s="21" t="s">
        <v>73</v>
      </c>
      <c r="D68" s="21" t="s">
        <v>1610</v>
      </c>
      <c r="E68" s="21" t="s">
        <v>1611</v>
      </c>
      <c r="F68" s="21" t="s">
        <v>1612</v>
      </c>
    </row>
    <row r="69" ht="15.75" customHeight="1">
      <c r="A69" s="21">
        <v>37.0</v>
      </c>
      <c r="B69" s="21" t="s">
        <v>877</v>
      </c>
      <c r="C69" s="21" t="s">
        <v>73</v>
      </c>
      <c r="D69" s="21" t="s">
        <v>1610</v>
      </c>
      <c r="E69" s="21" t="s">
        <v>1611</v>
      </c>
      <c r="F69" s="21" t="s">
        <v>1612</v>
      </c>
    </row>
    <row r="70" ht="15.75" customHeight="1">
      <c r="A70" s="21">
        <v>38.0</v>
      </c>
      <c r="B70" s="21" t="s">
        <v>897</v>
      </c>
      <c r="C70" s="21" t="s">
        <v>73</v>
      </c>
      <c r="D70" s="21" t="s">
        <v>1610</v>
      </c>
      <c r="E70" s="21" t="s">
        <v>1611</v>
      </c>
      <c r="F70" s="21" t="s">
        <v>1612</v>
      </c>
    </row>
    <row r="71" ht="15.75" customHeight="1">
      <c r="A71" s="21">
        <v>39.0</v>
      </c>
      <c r="B71" s="21" t="s">
        <v>908</v>
      </c>
      <c r="C71" s="21" t="s">
        <v>73</v>
      </c>
      <c r="D71" s="21" t="s">
        <v>1621</v>
      </c>
      <c r="E71" s="21" t="s">
        <v>1622</v>
      </c>
      <c r="F71" s="21" t="s">
        <v>1612</v>
      </c>
    </row>
    <row r="72" ht="15.75" customHeight="1">
      <c r="A72" s="21">
        <v>40.0</v>
      </c>
      <c r="B72" s="21" t="s">
        <v>912</v>
      </c>
      <c r="C72" s="21" t="s">
        <v>73</v>
      </c>
      <c r="D72" s="21" t="s">
        <v>1610</v>
      </c>
      <c r="E72" s="21" t="s">
        <v>1611</v>
      </c>
      <c r="F72" s="21" t="s">
        <v>1612</v>
      </c>
    </row>
    <row r="73" ht="15.75" customHeight="1">
      <c r="A73" s="21">
        <v>41.0</v>
      </c>
      <c r="B73" s="21" t="s">
        <v>916</v>
      </c>
      <c r="C73" s="21" t="s">
        <v>73</v>
      </c>
      <c r="D73" s="21" t="s">
        <v>1610</v>
      </c>
      <c r="E73" s="21" t="s">
        <v>1611</v>
      </c>
      <c r="F73" s="21" t="s">
        <v>1612</v>
      </c>
    </row>
    <row r="74" ht="15.75" customHeight="1">
      <c r="A74" s="21">
        <v>42.0</v>
      </c>
      <c r="B74" s="21" t="s">
        <v>923</v>
      </c>
      <c r="C74" s="21" t="s">
        <v>73</v>
      </c>
      <c r="D74" s="21" t="s">
        <v>1610</v>
      </c>
      <c r="E74" s="21" t="s">
        <v>1611</v>
      </c>
      <c r="F74" s="21" t="s">
        <v>1612</v>
      </c>
    </row>
    <row r="75" ht="15.75" customHeight="1">
      <c r="A75" s="21">
        <v>43.0</v>
      </c>
      <c r="B75" s="21" t="s">
        <v>928</v>
      </c>
      <c r="C75" s="21" t="s">
        <v>73</v>
      </c>
      <c r="D75" s="21" t="s">
        <v>1610</v>
      </c>
      <c r="E75" s="21" t="s">
        <v>1611</v>
      </c>
      <c r="F75" s="21" t="s">
        <v>1612</v>
      </c>
    </row>
    <row r="76" ht="15.75" customHeight="1">
      <c r="A76" s="21">
        <v>45.0</v>
      </c>
      <c r="B76" s="21" t="s">
        <v>938</v>
      </c>
      <c r="C76" s="21" t="s">
        <v>73</v>
      </c>
      <c r="D76" s="21" t="s">
        <v>1615</v>
      </c>
      <c r="E76" s="21" t="s">
        <v>1616</v>
      </c>
      <c r="F76" s="21" t="s">
        <v>1612</v>
      </c>
    </row>
    <row r="77" ht="15.75" customHeight="1">
      <c r="A77" s="21">
        <v>46.0</v>
      </c>
      <c r="B77" s="21" t="s">
        <v>943</v>
      </c>
      <c r="C77" s="21" t="s">
        <v>73</v>
      </c>
      <c r="D77" s="21" t="s">
        <v>1615</v>
      </c>
      <c r="E77" s="21" t="s">
        <v>1616</v>
      </c>
      <c r="F77" s="21" t="s">
        <v>1612</v>
      </c>
    </row>
    <row r="78" ht="15.75" customHeight="1">
      <c r="A78" s="21">
        <v>47.0</v>
      </c>
      <c r="B78" s="21" t="s">
        <v>946</v>
      </c>
      <c r="C78" s="21" t="s">
        <v>73</v>
      </c>
      <c r="D78" s="21" t="s">
        <v>1615</v>
      </c>
      <c r="E78" s="21" t="s">
        <v>1616</v>
      </c>
      <c r="F78" s="21" t="s">
        <v>1612</v>
      </c>
    </row>
    <row r="79" ht="15.75" customHeight="1">
      <c r="A79" s="21">
        <v>48.0</v>
      </c>
      <c r="B79" s="21" t="s">
        <v>953</v>
      </c>
      <c r="C79" s="21" t="s">
        <v>73</v>
      </c>
      <c r="D79" s="21" t="s">
        <v>1615</v>
      </c>
      <c r="E79" s="21" t="s">
        <v>1616</v>
      </c>
      <c r="F79" s="21" t="s">
        <v>1612</v>
      </c>
    </row>
    <row r="80" ht="15.75" customHeight="1">
      <c r="A80" s="21">
        <v>49.0</v>
      </c>
      <c r="B80" s="21" t="s">
        <v>963</v>
      </c>
      <c r="C80" s="21" t="s">
        <v>73</v>
      </c>
      <c r="D80" s="21" t="s">
        <v>1615</v>
      </c>
      <c r="E80" s="21" t="s">
        <v>1616</v>
      </c>
      <c r="F80" s="21" t="s">
        <v>1612</v>
      </c>
    </row>
    <row r="81" ht="15.75" customHeight="1">
      <c r="A81" s="21">
        <v>50.0</v>
      </c>
      <c r="B81" s="21" t="s">
        <v>972</v>
      </c>
      <c r="C81" s="21" t="s">
        <v>73</v>
      </c>
      <c r="D81" s="21" t="s">
        <v>1610</v>
      </c>
      <c r="E81" s="21" t="s">
        <v>1611</v>
      </c>
      <c r="F81" s="21" t="s">
        <v>1612</v>
      </c>
    </row>
    <row r="82" ht="15.75" customHeight="1">
      <c r="A82" s="21">
        <v>51.0</v>
      </c>
      <c r="B82" s="21" t="s">
        <v>982</v>
      </c>
      <c r="C82" s="21" t="s">
        <v>73</v>
      </c>
      <c r="D82" s="21" t="s">
        <v>1615</v>
      </c>
      <c r="E82" s="21" t="s">
        <v>1616</v>
      </c>
      <c r="F82" s="21" t="s">
        <v>1612</v>
      </c>
    </row>
    <row r="83" ht="15.75" customHeight="1">
      <c r="A83" s="21">
        <v>52.0</v>
      </c>
      <c r="B83" s="21" t="s">
        <v>991</v>
      </c>
      <c r="C83" s="21" t="s">
        <v>73</v>
      </c>
      <c r="D83" s="21" t="s">
        <v>1615</v>
      </c>
      <c r="E83" s="21" t="s">
        <v>1616</v>
      </c>
      <c r="F83" s="21" t="s">
        <v>1612</v>
      </c>
    </row>
    <row r="84" ht="15.75" customHeight="1">
      <c r="A84" s="21">
        <v>53.0</v>
      </c>
      <c r="B84" s="21" t="s">
        <v>1176</v>
      </c>
      <c r="C84" s="21" t="s">
        <v>73</v>
      </c>
      <c r="D84" s="21" t="s">
        <v>1623</v>
      </c>
      <c r="E84" s="21" t="s">
        <v>1624</v>
      </c>
      <c r="F84" s="21" t="s">
        <v>1612</v>
      </c>
    </row>
    <row r="85" ht="15.75" customHeight="1">
      <c r="A85" s="21">
        <v>54.0</v>
      </c>
      <c r="B85" s="21" t="s">
        <v>1001</v>
      </c>
      <c r="C85" s="21" t="s">
        <v>73</v>
      </c>
      <c r="D85" s="21" t="s">
        <v>1625</v>
      </c>
      <c r="E85" s="21" t="s">
        <v>1626</v>
      </c>
      <c r="F85" s="21" t="s">
        <v>1612</v>
      </c>
    </row>
    <row r="86" ht="15.75" customHeight="1">
      <c r="A86" s="21">
        <v>55.0</v>
      </c>
      <c r="B86" s="21" t="s">
        <v>1222</v>
      </c>
      <c r="C86" s="21" t="s">
        <v>73</v>
      </c>
      <c r="D86" s="21" t="s">
        <v>1623</v>
      </c>
      <c r="E86" s="21" t="s">
        <v>1624</v>
      </c>
      <c r="F86" s="21" t="s">
        <v>1612</v>
      </c>
    </row>
    <row r="87" ht="15.75" customHeight="1">
      <c r="A87" s="21">
        <v>56.0</v>
      </c>
      <c r="B87" s="21" t="s">
        <v>1135</v>
      </c>
      <c r="C87" s="21" t="s">
        <v>73</v>
      </c>
      <c r="D87" s="21" t="s">
        <v>1613</v>
      </c>
      <c r="E87" s="21" t="s">
        <v>1614</v>
      </c>
      <c r="F87" s="21" t="s">
        <v>1612</v>
      </c>
    </row>
    <row r="88" ht="15.75" customHeight="1">
      <c r="A88" s="21">
        <v>57.0</v>
      </c>
      <c r="B88" s="21" t="s">
        <v>1016</v>
      </c>
      <c r="C88" s="21" t="s">
        <v>73</v>
      </c>
      <c r="D88" s="21" t="s">
        <v>1623</v>
      </c>
      <c r="E88" s="21" t="s">
        <v>1624</v>
      </c>
      <c r="F88" s="21" t="s">
        <v>1612</v>
      </c>
    </row>
    <row r="89" ht="15.75" customHeight="1">
      <c r="A89" s="21">
        <v>58.0</v>
      </c>
      <c r="B89" s="21" t="s">
        <v>1025</v>
      </c>
      <c r="C89" s="21" t="s">
        <v>73</v>
      </c>
      <c r="D89" s="21" t="s">
        <v>1613</v>
      </c>
      <c r="E89" s="21" t="s">
        <v>1614</v>
      </c>
      <c r="F89" s="21" t="s">
        <v>1612</v>
      </c>
    </row>
    <row r="90" ht="15.75" customHeight="1">
      <c r="A90" s="21">
        <v>59.0</v>
      </c>
      <c r="B90" s="21" t="s">
        <v>1028</v>
      </c>
      <c r="C90" s="21" t="s">
        <v>73</v>
      </c>
      <c r="D90" s="21" t="s">
        <v>1613</v>
      </c>
      <c r="E90" s="21" t="s">
        <v>1614</v>
      </c>
      <c r="F90" s="21" t="s">
        <v>1612</v>
      </c>
    </row>
    <row r="91" ht="15.75" customHeight="1">
      <c r="A91" s="21">
        <v>60.0</v>
      </c>
      <c r="B91" s="21" t="s">
        <v>1034</v>
      </c>
      <c r="C91" s="21" t="s">
        <v>73</v>
      </c>
      <c r="D91" s="21" t="s">
        <v>1610</v>
      </c>
      <c r="E91" s="21" t="s">
        <v>1611</v>
      </c>
      <c r="F91" s="21" t="s">
        <v>1612</v>
      </c>
    </row>
    <row r="92" ht="15.75" customHeight="1">
      <c r="A92" s="21">
        <v>61.0</v>
      </c>
      <c r="B92" s="21" t="s">
        <v>1006</v>
      </c>
      <c r="C92" s="21" t="s">
        <v>73</v>
      </c>
      <c r="D92" s="21" t="s">
        <v>1623</v>
      </c>
      <c r="E92" s="21" t="s">
        <v>1624</v>
      </c>
      <c r="F92" s="21" t="s">
        <v>1612</v>
      </c>
    </row>
    <row r="93" ht="15.75" customHeight="1">
      <c r="A93" s="21">
        <v>62.0</v>
      </c>
      <c r="B93" s="21" t="s">
        <v>1044</v>
      </c>
      <c r="C93" s="21" t="s">
        <v>73</v>
      </c>
      <c r="D93" s="21" t="s">
        <v>1627</v>
      </c>
      <c r="E93" s="21" t="s">
        <v>1628</v>
      </c>
      <c r="F93" s="21" t="s">
        <v>1612</v>
      </c>
    </row>
    <row r="94" ht="15.75" customHeight="1">
      <c r="A94" s="21">
        <v>63.0</v>
      </c>
      <c r="B94" s="21" t="s">
        <v>1049</v>
      </c>
      <c r="C94" s="21" t="s">
        <v>73</v>
      </c>
      <c r="D94" s="21" t="s">
        <v>1627</v>
      </c>
      <c r="E94" s="21" t="s">
        <v>1628</v>
      </c>
      <c r="F94" s="21" t="s">
        <v>1612</v>
      </c>
    </row>
    <row r="95" ht="15.75" customHeight="1">
      <c r="A95" s="21">
        <v>66.0</v>
      </c>
      <c r="B95" s="21" t="s">
        <v>1069</v>
      </c>
      <c r="C95" s="21" t="s">
        <v>73</v>
      </c>
      <c r="D95" s="21" t="s">
        <v>1627</v>
      </c>
      <c r="E95" s="21" t="s">
        <v>1628</v>
      </c>
      <c r="F95" s="21" t="s">
        <v>1612</v>
      </c>
    </row>
    <row r="96" ht="15.75" customHeight="1">
      <c r="A96" s="21">
        <v>67.0</v>
      </c>
      <c r="B96" s="21" t="s">
        <v>1077</v>
      </c>
      <c r="C96" s="21" t="s">
        <v>73</v>
      </c>
      <c r="D96" s="21" t="s">
        <v>1627</v>
      </c>
      <c r="E96" s="21" t="s">
        <v>1628</v>
      </c>
      <c r="F96" s="21" t="s">
        <v>1612</v>
      </c>
    </row>
    <row r="97" ht="15.75" customHeight="1">
      <c r="A97" s="21">
        <v>68.0</v>
      </c>
      <c r="B97" s="21" t="s">
        <v>1087</v>
      </c>
      <c r="C97" s="21" t="s">
        <v>73</v>
      </c>
      <c r="D97" s="21" t="s">
        <v>1627</v>
      </c>
      <c r="E97" s="21" t="s">
        <v>1628</v>
      </c>
      <c r="F97" s="21" t="s">
        <v>1612</v>
      </c>
    </row>
    <row r="98" ht="15.75" customHeight="1">
      <c r="A98" s="21">
        <v>69.0</v>
      </c>
      <c r="B98" s="21" t="s">
        <v>1093</v>
      </c>
      <c r="C98" s="21" t="s">
        <v>73</v>
      </c>
      <c r="D98" s="21" t="s">
        <v>1627</v>
      </c>
      <c r="E98" s="21" t="s">
        <v>1628</v>
      </c>
      <c r="F98" s="21" t="s">
        <v>1612</v>
      </c>
    </row>
    <row r="99" ht="15.75" customHeight="1">
      <c r="A99" s="21">
        <v>70.0</v>
      </c>
      <c r="B99" s="21" t="s">
        <v>1011</v>
      </c>
      <c r="C99" s="21" t="s">
        <v>73</v>
      </c>
      <c r="D99" s="21" t="s">
        <v>1610</v>
      </c>
      <c r="E99" s="21" t="s">
        <v>1611</v>
      </c>
      <c r="F99" s="21" t="s">
        <v>1612</v>
      </c>
    </row>
    <row r="100" ht="15.75" customHeight="1">
      <c r="A100" s="21">
        <v>71.0</v>
      </c>
      <c r="B100" s="21" t="s">
        <v>1104</v>
      </c>
      <c r="C100" s="21" t="s">
        <v>73</v>
      </c>
      <c r="D100" s="21" t="s">
        <v>1627</v>
      </c>
      <c r="E100" s="21" t="s">
        <v>1628</v>
      </c>
      <c r="F100" s="21" t="s">
        <v>1612</v>
      </c>
    </row>
    <row r="101" ht="15.75" customHeight="1">
      <c r="A101" s="21">
        <v>72.0</v>
      </c>
      <c r="B101" s="21" t="s">
        <v>1108</v>
      </c>
      <c r="C101" s="21" t="s">
        <v>73</v>
      </c>
      <c r="D101" s="21" t="s">
        <v>1627</v>
      </c>
      <c r="E101" s="21" t="s">
        <v>1628</v>
      </c>
      <c r="F101" s="21" t="s">
        <v>1612</v>
      </c>
    </row>
    <row r="102" ht="15.75" customHeight="1">
      <c r="A102" s="21">
        <v>73.0</v>
      </c>
      <c r="B102" s="21" t="s">
        <v>801</v>
      </c>
      <c r="C102" s="21" t="s">
        <v>73</v>
      </c>
      <c r="D102" s="21" t="s">
        <v>1613</v>
      </c>
      <c r="E102" s="21" t="s">
        <v>1614</v>
      </c>
      <c r="F102" s="21" t="s">
        <v>1612</v>
      </c>
    </row>
    <row r="103" ht="15.75" customHeight="1">
      <c r="A103" s="21">
        <v>74.0</v>
      </c>
      <c r="B103" s="21" t="s">
        <v>1118</v>
      </c>
      <c r="C103" s="21" t="s">
        <v>73</v>
      </c>
      <c r="D103" s="21" t="s">
        <v>1615</v>
      </c>
      <c r="E103" s="21" t="s">
        <v>1616</v>
      </c>
      <c r="F103" s="21" t="s">
        <v>1612</v>
      </c>
    </row>
    <row r="104" ht="15.75" customHeight="1">
      <c r="A104" s="21">
        <v>75.0</v>
      </c>
      <c r="B104" s="21" t="s">
        <v>1062</v>
      </c>
      <c r="C104" s="21" t="s">
        <v>73</v>
      </c>
      <c r="D104" s="21" t="s">
        <v>1623</v>
      </c>
      <c r="E104" s="21" t="s">
        <v>1624</v>
      </c>
      <c r="F104" s="21" t="s">
        <v>1612</v>
      </c>
    </row>
    <row r="105" ht="15.75" customHeight="1">
      <c r="A105" s="21">
        <v>76.0</v>
      </c>
      <c r="B105" s="21" t="s">
        <v>485</v>
      </c>
      <c r="C105" s="21" t="s">
        <v>73</v>
      </c>
      <c r="D105" s="21" t="s">
        <v>1623</v>
      </c>
      <c r="E105" s="21" t="s">
        <v>1624</v>
      </c>
      <c r="F105" s="21" t="s">
        <v>1612</v>
      </c>
    </row>
    <row r="106" ht="15.75" customHeight="1">
      <c r="A106" s="21">
        <v>78.0</v>
      </c>
      <c r="B106" s="21" t="s">
        <v>996</v>
      </c>
      <c r="C106" s="21" t="s">
        <v>73</v>
      </c>
      <c r="D106" s="21" t="s">
        <v>1623</v>
      </c>
      <c r="E106" s="21" t="s">
        <v>1624</v>
      </c>
      <c r="F106" s="21" t="s">
        <v>1612</v>
      </c>
    </row>
    <row r="107" ht="15.75" customHeight="1">
      <c r="A107" s="21">
        <v>79.0</v>
      </c>
      <c r="B107" s="21" t="s">
        <v>1140</v>
      </c>
      <c r="C107" s="21" t="s">
        <v>73</v>
      </c>
      <c r="D107" s="21" t="s">
        <v>1610</v>
      </c>
      <c r="E107" s="21" t="s">
        <v>1611</v>
      </c>
      <c r="F107" s="21" t="s">
        <v>1612</v>
      </c>
    </row>
    <row r="108" ht="15.75" customHeight="1">
      <c r="A108" s="21">
        <v>80.0</v>
      </c>
      <c r="B108" s="21" t="s">
        <v>1143</v>
      </c>
      <c r="C108" s="21" t="s">
        <v>73</v>
      </c>
      <c r="D108" s="21" t="s">
        <v>1613</v>
      </c>
      <c r="E108" s="21" t="s">
        <v>1614</v>
      </c>
      <c r="F108" s="21" t="s">
        <v>1612</v>
      </c>
    </row>
    <row r="109" ht="15.75" customHeight="1">
      <c r="A109" s="21">
        <v>81.0</v>
      </c>
      <c r="B109" s="21" t="s">
        <v>1414</v>
      </c>
      <c r="C109" s="21" t="s">
        <v>73</v>
      </c>
      <c r="D109" s="21" t="s">
        <v>1623</v>
      </c>
      <c r="E109" s="21" t="s">
        <v>1624</v>
      </c>
      <c r="F109" s="21" t="s">
        <v>1612</v>
      </c>
    </row>
    <row r="110" ht="15.75" customHeight="1">
      <c r="A110" s="21">
        <v>82.0</v>
      </c>
      <c r="B110" s="21" t="s">
        <v>1152</v>
      </c>
      <c r="C110" s="21" t="s">
        <v>73</v>
      </c>
      <c r="D110" s="21" t="s">
        <v>1613</v>
      </c>
      <c r="E110" s="21" t="s">
        <v>1614</v>
      </c>
      <c r="F110" s="21" t="s">
        <v>1612</v>
      </c>
    </row>
    <row r="111" ht="15.75" customHeight="1">
      <c r="A111" s="21">
        <v>83.0</v>
      </c>
      <c r="B111" s="21" t="s">
        <v>872</v>
      </c>
      <c r="C111" s="21" t="s">
        <v>73</v>
      </c>
      <c r="D111" s="21" t="s">
        <v>1613</v>
      </c>
      <c r="E111" s="21" t="s">
        <v>1614</v>
      </c>
      <c r="F111" s="21" t="s">
        <v>1612</v>
      </c>
    </row>
    <row r="112" ht="15.75" customHeight="1">
      <c r="A112" s="21">
        <v>84.0</v>
      </c>
      <c r="B112" s="21" t="s">
        <v>1166</v>
      </c>
      <c r="C112" s="21" t="s">
        <v>73</v>
      </c>
      <c r="D112" s="21" t="s">
        <v>1613</v>
      </c>
      <c r="E112" s="21" t="s">
        <v>1614</v>
      </c>
      <c r="F112" s="21" t="s">
        <v>1612</v>
      </c>
    </row>
    <row r="113" ht="15.75" customHeight="1">
      <c r="A113" s="21">
        <v>85.0</v>
      </c>
      <c r="B113" s="21" t="s">
        <v>1171</v>
      </c>
      <c r="C113" s="21" t="s">
        <v>73</v>
      </c>
      <c r="D113" s="21" t="s">
        <v>1615</v>
      </c>
      <c r="E113" s="21" t="s">
        <v>1616</v>
      </c>
      <c r="F113" s="21" t="s">
        <v>1612</v>
      </c>
    </row>
    <row r="114" ht="15.75" customHeight="1">
      <c r="A114" s="21">
        <v>86.0</v>
      </c>
      <c r="B114" s="21" t="s">
        <v>1148</v>
      </c>
      <c r="C114" s="21" t="s">
        <v>73</v>
      </c>
      <c r="D114" s="21" t="s">
        <v>1613</v>
      </c>
      <c r="E114" s="21" t="s">
        <v>1614</v>
      </c>
      <c r="F114" s="21" t="s">
        <v>1612</v>
      </c>
    </row>
    <row r="115" ht="15.75" customHeight="1">
      <c r="A115" s="21">
        <v>87.0</v>
      </c>
      <c r="B115" s="21" t="s">
        <v>1181</v>
      </c>
      <c r="C115" s="21" t="s">
        <v>73</v>
      </c>
      <c r="D115" s="21" t="s">
        <v>1615</v>
      </c>
      <c r="E115" s="21" t="s">
        <v>1616</v>
      </c>
      <c r="F115" s="21" t="s">
        <v>1612</v>
      </c>
    </row>
    <row r="116" ht="15.75" customHeight="1">
      <c r="A116" s="21">
        <v>88.0</v>
      </c>
      <c r="B116" s="21" t="s">
        <v>1187</v>
      </c>
      <c r="C116" s="21" t="s">
        <v>73</v>
      </c>
      <c r="D116" s="21" t="s">
        <v>1615</v>
      </c>
      <c r="E116" s="21" t="s">
        <v>1616</v>
      </c>
      <c r="F116" s="21" t="s">
        <v>1612</v>
      </c>
    </row>
    <row r="117" ht="15.75" customHeight="1">
      <c r="A117" s="21">
        <v>89.0</v>
      </c>
      <c r="B117" s="21" t="s">
        <v>1194</v>
      </c>
      <c r="C117" s="21" t="s">
        <v>73</v>
      </c>
      <c r="D117" s="21" t="s">
        <v>1615</v>
      </c>
      <c r="E117" s="21" t="s">
        <v>1616</v>
      </c>
      <c r="F117" s="21" t="s">
        <v>1612</v>
      </c>
    </row>
    <row r="118" ht="15.75" customHeight="1">
      <c r="A118" s="21">
        <v>90.0</v>
      </c>
      <c r="B118" s="21" t="s">
        <v>1198</v>
      </c>
      <c r="C118" s="21" t="s">
        <v>73</v>
      </c>
      <c r="D118" s="21" t="s">
        <v>1613</v>
      </c>
      <c r="E118" s="21" t="s">
        <v>1614</v>
      </c>
      <c r="F118" s="21" t="s">
        <v>1612</v>
      </c>
    </row>
    <row r="119" ht="15.75" customHeight="1">
      <c r="A119" s="21">
        <v>91.0</v>
      </c>
      <c r="B119" s="21" t="s">
        <v>1201</v>
      </c>
      <c r="C119" s="21" t="s">
        <v>73</v>
      </c>
      <c r="D119" s="21" t="s">
        <v>1615</v>
      </c>
      <c r="E119" s="21" t="s">
        <v>1616</v>
      </c>
      <c r="F119" s="21" t="s">
        <v>1612</v>
      </c>
    </row>
    <row r="120" ht="15.75" customHeight="1">
      <c r="A120" s="21">
        <v>92.0</v>
      </c>
      <c r="B120" s="21" t="s">
        <v>1206</v>
      </c>
      <c r="C120" s="21" t="s">
        <v>73</v>
      </c>
      <c r="D120" s="21" t="s">
        <v>1615</v>
      </c>
      <c r="E120" s="21" t="s">
        <v>1616</v>
      </c>
      <c r="F120" s="21" t="s">
        <v>1612</v>
      </c>
    </row>
    <row r="121" ht="15.75" customHeight="1">
      <c r="A121" s="21">
        <v>93.0</v>
      </c>
      <c r="B121" s="21" t="s">
        <v>1210</v>
      </c>
      <c r="C121" s="21" t="s">
        <v>73</v>
      </c>
      <c r="D121" s="21" t="s">
        <v>1615</v>
      </c>
      <c r="E121" s="21" t="s">
        <v>1616</v>
      </c>
      <c r="F121" s="21" t="s">
        <v>1612</v>
      </c>
    </row>
    <row r="122" ht="15.75" customHeight="1">
      <c r="A122" s="21">
        <v>95.0</v>
      </c>
      <c r="B122" s="21" t="s">
        <v>1221</v>
      </c>
      <c r="C122" s="21" t="s">
        <v>73</v>
      </c>
      <c r="D122" s="21" t="s">
        <v>1615</v>
      </c>
      <c r="E122" s="21" t="s">
        <v>1616</v>
      </c>
      <c r="F122" s="21" t="s">
        <v>1612</v>
      </c>
    </row>
    <row r="123" ht="15.75" customHeight="1">
      <c r="A123" s="21">
        <v>96.0</v>
      </c>
      <c r="B123" s="21" t="s">
        <v>1226</v>
      </c>
      <c r="C123" s="21" t="s">
        <v>73</v>
      </c>
      <c r="D123" s="21" t="s">
        <v>1615</v>
      </c>
      <c r="E123" s="21" t="s">
        <v>1616</v>
      </c>
      <c r="F123" s="21" t="s">
        <v>1612</v>
      </c>
    </row>
    <row r="124" ht="15.75" customHeight="1">
      <c r="A124" s="21">
        <v>97.0</v>
      </c>
      <c r="B124" s="21" t="s">
        <v>1161</v>
      </c>
      <c r="C124" s="21" t="s">
        <v>73</v>
      </c>
      <c r="D124" s="21" t="s">
        <v>1615</v>
      </c>
      <c r="E124" s="21" t="s">
        <v>1616</v>
      </c>
      <c r="F124" s="21" t="s">
        <v>1612</v>
      </c>
    </row>
    <row r="125" ht="15.75" customHeight="1">
      <c r="A125" s="21">
        <v>98.0</v>
      </c>
      <c r="B125" s="21" t="s">
        <v>1234</v>
      </c>
      <c r="C125" s="21" t="s">
        <v>73</v>
      </c>
      <c r="D125" s="21" t="s">
        <v>1615</v>
      </c>
      <c r="E125" s="21" t="s">
        <v>1616</v>
      </c>
      <c r="F125" s="21" t="s">
        <v>1612</v>
      </c>
    </row>
    <row r="126" ht="15.75" customHeight="1">
      <c r="A126" s="21">
        <v>99.0</v>
      </c>
      <c r="B126" s="21" t="s">
        <v>1237</v>
      </c>
      <c r="C126" s="21" t="s">
        <v>73</v>
      </c>
      <c r="D126" s="21" t="s">
        <v>1610</v>
      </c>
      <c r="E126" s="21" t="s">
        <v>1611</v>
      </c>
      <c r="F126" s="21" t="s">
        <v>1612</v>
      </c>
    </row>
    <row r="127" ht="15.75" customHeight="1">
      <c r="A127" s="21">
        <v>100.0</v>
      </c>
      <c r="B127" s="21" t="s">
        <v>1240</v>
      </c>
      <c r="C127" s="21" t="s">
        <v>73</v>
      </c>
      <c r="D127" s="21" t="s">
        <v>1615</v>
      </c>
      <c r="E127" s="21" t="s">
        <v>1616</v>
      </c>
      <c r="F127" s="21" t="s">
        <v>1612</v>
      </c>
    </row>
    <row r="128" ht="15.75" customHeight="1">
      <c r="A128" s="21">
        <v>101.0</v>
      </c>
      <c r="B128" s="21" t="s">
        <v>1244</v>
      </c>
      <c r="C128" s="21" t="s">
        <v>73</v>
      </c>
      <c r="D128" s="21" t="s">
        <v>1615</v>
      </c>
      <c r="E128" s="21" t="s">
        <v>1616</v>
      </c>
      <c r="F128" s="21" t="s">
        <v>1612</v>
      </c>
    </row>
    <row r="129" ht="15.75" customHeight="1">
      <c r="A129" s="21">
        <v>102.0</v>
      </c>
      <c r="B129" s="21" t="s">
        <v>1248</v>
      </c>
      <c r="C129" s="21" t="s">
        <v>73</v>
      </c>
      <c r="D129" s="21" t="s">
        <v>1610</v>
      </c>
      <c r="E129" s="21" t="s">
        <v>1611</v>
      </c>
      <c r="F129" s="21" t="s">
        <v>1612</v>
      </c>
    </row>
    <row r="130" ht="15.75" customHeight="1">
      <c r="A130" s="21">
        <v>103.0</v>
      </c>
      <c r="B130" s="21" t="s">
        <v>1252</v>
      </c>
      <c r="C130" s="21" t="s">
        <v>73</v>
      </c>
      <c r="D130" s="21" t="s">
        <v>1615</v>
      </c>
      <c r="E130" s="21" t="s">
        <v>1616</v>
      </c>
      <c r="F130" s="21" t="s">
        <v>1612</v>
      </c>
    </row>
    <row r="131" ht="15.75" customHeight="1">
      <c r="A131" s="21">
        <v>104.0</v>
      </c>
      <c r="B131" s="21" t="s">
        <v>1259</v>
      </c>
      <c r="C131" s="21" t="s">
        <v>73</v>
      </c>
      <c r="D131" s="21" t="s">
        <v>1610</v>
      </c>
      <c r="E131" s="21" t="s">
        <v>1611</v>
      </c>
      <c r="F131" s="21" t="s">
        <v>1612</v>
      </c>
    </row>
    <row r="132" ht="15.75" customHeight="1">
      <c r="A132" s="21">
        <v>105.0</v>
      </c>
      <c r="B132" s="21" t="s">
        <v>1262</v>
      </c>
      <c r="C132" s="21" t="s">
        <v>73</v>
      </c>
      <c r="D132" s="21" t="s">
        <v>1615</v>
      </c>
      <c r="E132" s="21" t="s">
        <v>1616</v>
      </c>
      <c r="F132" s="21" t="s">
        <v>1612</v>
      </c>
    </row>
    <row r="133" ht="15.75" customHeight="1">
      <c r="A133" s="21">
        <v>106.0</v>
      </c>
      <c r="B133" s="21" t="s">
        <v>1265</v>
      </c>
      <c r="C133" s="21" t="s">
        <v>73</v>
      </c>
      <c r="D133" s="21" t="s">
        <v>1615</v>
      </c>
      <c r="E133" s="21" t="s">
        <v>1616</v>
      </c>
      <c r="F133" s="21" t="s">
        <v>1612</v>
      </c>
    </row>
    <row r="134" ht="15.75" customHeight="1">
      <c r="A134" s="21">
        <v>107.0</v>
      </c>
      <c r="B134" s="21" t="s">
        <v>1274</v>
      </c>
      <c r="C134" s="21" t="s">
        <v>73</v>
      </c>
      <c r="D134" s="21" t="s">
        <v>1615</v>
      </c>
      <c r="E134" s="21" t="s">
        <v>1616</v>
      </c>
      <c r="F134" s="21" t="s">
        <v>1612</v>
      </c>
    </row>
    <row r="135" ht="15.75" customHeight="1">
      <c r="A135" s="21">
        <v>108.0</v>
      </c>
      <c r="B135" s="21" t="s">
        <v>1281</v>
      </c>
      <c r="C135" s="21" t="s">
        <v>73</v>
      </c>
      <c r="D135" s="21" t="s">
        <v>1615</v>
      </c>
      <c r="E135" s="21" t="s">
        <v>1616</v>
      </c>
      <c r="F135" s="21" t="s">
        <v>1612</v>
      </c>
    </row>
    <row r="136" ht="15.75" customHeight="1">
      <c r="A136" s="21">
        <v>4.0</v>
      </c>
      <c r="B136" s="21" t="s">
        <v>247</v>
      </c>
      <c r="C136" s="21" t="s">
        <v>70</v>
      </c>
      <c r="D136" s="21" t="s">
        <v>1666</v>
      </c>
      <c r="E136" s="21" t="s">
        <v>266</v>
      </c>
      <c r="F136" s="21" t="s">
        <v>1668</v>
      </c>
    </row>
    <row r="137" ht="15.75" customHeight="1">
      <c r="A137" s="21">
        <v>4.0</v>
      </c>
      <c r="B137" s="21" t="s">
        <v>247</v>
      </c>
      <c r="C137" s="21" t="s">
        <v>76</v>
      </c>
      <c r="D137" s="21" t="s">
        <v>1674</v>
      </c>
      <c r="E137" s="21" t="s">
        <v>1674</v>
      </c>
      <c r="F137" s="21" t="s">
        <v>1676</v>
      </c>
    </row>
    <row r="138" ht="15.75" customHeight="1">
      <c r="A138" s="21">
        <v>25.0</v>
      </c>
      <c r="B138" s="21" t="s">
        <v>661</v>
      </c>
      <c r="C138" s="21" t="s">
        <v>70</v>
      </c>
      <c r="D138" s="21" t="s">
        <v>1682</v>
      </c>
      <c r="E138" s="21" t="s">
        <v>665</v>
      </c>
      <c r="F138" s="21" t="s">
        <v>1668</v>
      </c>
    </row>
    <row r="139" ht="15.75" customHeight="1">
      <c r="A139" s="21">
        <v>25.0</v>
      </c>
      <c r="B139" s="21" t="s">
        <v>661</v>
      </c>
      <c r="C139" s="21" t="s">
        <v>76</v>
      </c>
      <c r="D139" s="21" t="s">
        <v>1692</v>
      </c>
      <c r="E139" s="21" t="s">
        <v>1692</v>
      </c>
      <c r="F139" s="21" t="s">
        <v>1676</v>
      </c>
    </row>
    <row r="140" ht="15.75" customHeight="1">
      <c r="A140" s="21">
        <v>27.0</v>
      </c>
      <c r="B140" s="21" t="s">
        <v>695</v>
      </c>
      <c r="C140" s="21" t="s">
        <v>70</v>
      </c>
      <c r="D140" s="21" t="s">
        <v>1699</v>
      </c>
      <c r="E140" s="21" t="s">
        <v>707</v>
      </c>
      <c r="F140" s="21" t="s">
        <v>1668</v>
      </c>
    </row>
    <row r="141" ht="15.75" customHeight="1">
      <c r="A141" s="21">
        <v>27.0</v>
      </c>
      <c r="B141" s="21" t="s">
        <v>695</v>
      </c>
      <c r="C141" s="21" t="s">
        <v>76</v>
      </c>
      <c r="D141" s="21" t="s">
        <v>1706</v>
      </c>
      <c r="E141" s="21" t="s">
        <v>1706</v>
      </c>
      <c r="F141" s="21" t="s">
        <v>1676</v>
      </c>
    </row>
    <row r="142" ht="15.75" customHeight="1">
      <c r="A142" s="21">
        <v>33.0</v>
      </c>
      <c r="B142" s="21" t="s">
        <v>788</v>
      </c>
      <c r="C142" s="21" t="s">
        <v>70</v>
      </c>
      <c r="D142" s="21" t="s">
        <v>1720</v>
      </c>
      <c r="E142" s="21" t="s">
        <v>795</v>
      </c>
      <c r="F142" s="21" t="s">
        <v>1668</v>
      </c>
    </row>
    <row r="143" ht="15.75" customHeight="1">
      <c r="A143" s="21">
        <v>33.0</v>
      </c>
      <c r="B143" s="21" t="s">
        <v>788</v>
      </c>
      <c r="C143" s="21" t="s">
        <v>76</v>
      </c>
      <c r="D143" s="21" t="s">
        <v>1726</v>
      </c>
      <c r="E143" s="21" t="s">
        <v>1728</v>
      </c>
      <c r="F143" s="21" t="s">
        <v>1676</v>
      </c>
    </row>
    <row r="144" ht="15.75" customHeight="1">
      <c r="A144" s="21">
        <v>36.0</v>
      </c>
      <c r="B144" s="21" t="s">
        <v>852</v>
      </c>
      <c r="C144" s="21" t="s">
        <v>70</v>
      </c>
      <c r="D144" s="21" t="s">
        <v>1734</v>
      </c>
      <c r="E144" s="21" t="s">
        <v>862</v>
      </c>
      <c r="F144" s="21" t="s">
        <v>1668</v>
      </c>
    </row>
    <row r="145" ht="15.75" customHeight="1">
      <c r="A145" s="21">
        <v>36.0</v>
      </c>
      <c r="B145" s="21" t="s">
        <v>852</v>
      </c>
      <c r="C145" s="21" t="s">
        <v>76</v>
      </c>
      <c r="D145" s="21" t="s">
        <v>1737</v>
      </c>
      <c r="E145" s="21" t="s">
        <v>1737</v>
      </c>
      <c r="F145" s="21" t="s">
        <v>1676</v>
      </c>
    </row>
    <row r="146" ht="15.75" customHeight="1">
      <c r="A146" s="21">
        <v>38.0</v>
      </c>
      <c r="B146" s="21" t="s">
        <v>897</v>
      </c>
      <c r="C146" s="21" t="s">
        <v>70</v>
      </c>
      <c r="D146" s="21" t="s">
        <v>1740</v>
      </c>
      <c r="E146" s="21" t="s">
        <v>903</v>
      </c>
      <c r="F146" s="21" t="s">
        <v>1668</v>
      </c>
    </row>
    <row r="147" ht="15.75" customHeight="1">
      <c r="A147" s="21">
        <v>38.0</v>
      </c>
      <c r="B147" s="21" t="s">
        <v>897</v>
      </c>
      <c r="C147" s="21" t="s">
        <v>76</v>
      </c>
      <c r="D147" s="21" t="s">
        <v>1746</v>
      </c>
      <c r="E147" s="21" t="s">
        <v>1746</v>
      </c>
      <c r="F147" s="21" t="s">
        <v>1676</v>
      </c>
    </row>
    <row r="148" ht="15.75" customHeight="1">
      <c r="A148" s="21">
        <v>43.0</v>
      </c>
      <c r="B148" s="21" t="s">
        <v>928</v>
      </c>
      <c r="C148" s="21" t="s">
        <v>70</v>
      </c>
      <c r="D148" s="21" t="s">
        <v>1753</v>
      </c>
      <c r="E148" s="21" t="s">
        <v>998</v>
      </c>
      <c r="F148" s="21" t="s">
        <v>1668</v>
      </c>
    </row>
    <row r="149" ht="15.75" customHeight="1">
      <c r="A149" s="21">
        <v>43.0</v>
      </c>
      <c r="B149" s="21" t="s">
        <v>928</v>
      </c>
      <c r="C149" s="21" t="s">
        <v>76</v>
      </c>
      <c r="D149" s="21" t="s">
        <v>1760</v>
      </c>
      <c r="E149" s="21" t="s">
        <v>1760</v>
      </c>
      <c r="F149" s="21" t="s">
        <v>1676</v>
      </c>
    </row>
    <row r="150" ht="15.75" customHeight="1">
      <c r="A150" s="21">
        <v>47.0</v>
      </c>
      <c r="B150" s="21" t="s">
        <v>946</v>
      </c>
      <c r="C150" s="21" t="s">
        <v>70</v>
      </c>
      <c r="D150" s="21" t="s">
        <v>1767</v>
      </c>
      <c r="E150" s="21" t="s">
        <v>1081</v>
      </c>
      <c r="F150" s="21" t="s">
        <v>1668</v>
      </c>
    </row>
    <row r="151" ht="15.75" customHeight="1">
      <c r="A151" s="21">
        <v>47.0</v>
      </c>
      <c r="B151" s="21" t="s">
        <v>946</v>
      </c>
      <c r="C151" s="21" t="s">
        <v>76</v>
      </c>
      <c r="D151" s="21" t="s">
        <v>1773</v>
      </c>
      <c r="E151" s="21" t="s">
        <v>1773</v>
      </c>
      <c r="F151" s="21" t="s">
        <v>1676</v>
      </c>
    </row>
    <row r="152" ht="15.75" customHeight="1">
      <c r="A152" s="21">
        <v>56.0</v>
      </c>
      <c r="B152" s="21" t="s">
        <v>1135</v>
      </c>
      <c r="C152" s="21" t="s">
        <v>70</v>
      </c>
      <c r="D152" s="21" t="s">
        <v>1779</v>
      </c>
      <c r="E152" s="21" t="s">
        <v>1258</v>
      </c>
      <c r="F152" s="21" t="s">
        <v>1668</v>
      </c>
    </row>
    <row r="153" ht="15.75" customHeight="1">
      <c r="A153" s="21">
        <v>56.0</v>
      </c>
      <c r="B153" s="21" t="s">
        <v>1135</v>
      </c>
      <c r="C153" s="21" t="s">
        <v>76</v>
      </c>
      <c r="D153" s="21" t="s">
        <v>1786</v>
      </c>
      <c r="E153" s="21" t="s">
        <v>1786</v>
      </c>
      <c r="F153" s="21" t="s">
        <v>1676</v>
      </c>
    </row>
    <row r="154" ht="15.75" customHeight="1">
      <c r="A154" s="21">
        <v>67.0</v>
      </c>
      <c r="B154" s="21" t="s">
        <v>1077</v>
      </c>
      <c r="C154" s="21" t="s">
        <v>70</v>
      </c>
      <c r="D154" s="21" t="s">
        <v>1793</v>
      </c>
      <c r="E154" s="21" t="s">
        <v>1332</v>
      </c>
      <c r="F154" s="21" t="s">
        <v>1668</v>
      </c>
    </row>
    <row r="155" ht="15.75" customHeight="1">
      <c r="A155" s="21">
        <v>67.0</v>
      </c>
      <c r="B155" s="21" t="s">
        <v>1077</v>
      </c>
      <c r="C155" s="21" t="s">
        <v>76</v>
      </c>
      <c r="D155" s="21" t="s">
        <v>1800</v>
      </c>
      <c r="E155" s="21" t="s">
        <v>1802</v>
      </c>
      <c r="F155" s="21" t="s">
        <v>1676</v>
      </c>
    </row>
    <row r="156" ht="15.75" customHeight="1">
      <c r="A156" s="21">
        <v>71.0</v>
      </c>
      <c r="B156" s="21" t="s">
        <v>1104</v>
      </c>
      <c r="C156" s="21" t="s">
        <v>70</v>
      </c>
      <c r="D156" s="21" t="s">
        <v>1807</v>
      </c>
      <c r="E156" s="21" t="s">
        <v>1359</v>
      </c>
      <c r="F156" s="21" t="s">
        <v>1668</v>
      </c>
    </row>
    <row r="157" ht="15.75" customHeight="1">
      <c r="A157" s="21">
        <v>71.0</v>
      </c>
      <c r="B157" s="21" t="s">
        <v>1104</v>
      </c>
      <c r="C157" s="21" t="s">
        <v>76</v>
      </c>
      <c r="D157" s="21" t="s">
        <v>1813</v>
      </c>
      <c r="E157" s="21" t="s">
        <v>1813</v>
      </c>
      <c r="F157" s="21" t="s">
        <v>1676</v>
      </c>
    </row>
    <row r="158" ht="15.75" customHeight="1">
      <c r="A158" s="21">
        <v>72.0</v>
      </c>
      <c r="B158" s="21" t="s">
        <v>1108</v>
      </c>
      <c r="C158" s="21" t="s">
        <v>70</v>
      </c>
      <c r="D158" s="21" t="s">
        <v>1817</v>
      </c>
      <c r="E158" s="21" t="s">
        <v>1366</v>
      </c>
      <c r="F158" s="21" t="s">
        <v>1668</v>
      </c>
    </row>
    <row r="159" ht="15.75" customHeight="1">
      <c r="A159" s="21">
        <v>72.0</v>
      </c>
      <c r="B159" s="21" t="s">
        <v>1108</v>
      </c>
      <c r="C159" s="21" t="s">
        <v>76</v>
      </c>
      <c r="D159" s="21" t="s">
        <v>1819</v>
      </c>
      <c r="E159" s="21" t="s">
        <v>1821</v>
      </c>
      <c r="F159" s="21" t="s">
        <v>1676</v>
      </c>
    </row>
    <row r="160" ht="15.75" customHeight="1">
      <c r="A160" s="21">
        <v>73.0</v>
      </c>
      <c r="B160" s="21" t="s">
        <v>801</v>
      </c>
      <c r="C160" s="21" t="s">
        <v>70</v>
      </c>
      <c r="D160" s="21" t="s">
        <v>1823</v>
      </c>
      <c r="E160" s="21" t="s">
        <v>1372</v>
      </c>
      <c r="F160" s="21" t="s">
        <v>1668</v>
      </c>
    </row>
    <row r="161" ht="15.75" customHeight="1">
      <c r="A161" s="21">
        <v>73.0</v>
      </c>
      <c r="B161" s="21" t="s">
        <v>801</v>
      </c>
      <c r="C161" s="21" t="s">
        <v>76</v>
      </c>
      <c r="D161" s="21" t="s">
        <v>1825</v>
      </c>
      <c r="E161" s="21" t="s">
        <v>1825</v>
      </c>
      <c r="F161" s="21" t="s">
        <v>1676</v>
      </c>
    </row>
    <row r="162" ht="15.75" customHeight="1">
      <c r="A162" s="21">
        <v>74.0</v>
      </c>
      <c r="B162" s="21" t="s">
        <v>1118</v>
      </c>
      <c r="C162" s="21" t="s">
        <v>70</v>
      </c>
      <c r="D162" s="21" t="s">
        <v>1828</v>
      </c>
      <c r="E162" s="21" t="s">
        <v>1380</v>
      </c>
      <c r="F162" s="21" t="s">
        <v>1668</v>
      </c>
    </row>
    <row r="163" ht="15.75" customHeight="1">
      <c r="A163" s="21">
        <v>74.0</v>
      </c>
      <c r="B163" s="21" t="s">
        <v>1118</v>
      </c>
      <c r="C163" s="21" t="s">
        <v>76</v>
      </c>
      <c r="D163" s="21" t="s">
        <v>1833</v>
      </c>
      <c r="E163" s="21" t="s">
        <v>1833</v>
      </c>
      <c r="F163" s="21" t="s">
        <v>1676</v>
      </c>
    </row>
    <row r="164" ht="15.75" customHeight="1">
      <c r="A164" s="21">
        <v>84.0</v>
      </c>
      <c r="B164" s="21" t="s">
        <v>1166</v>
      </c>
      <c r="C164" s="21" t="s">
        <v>70</v>
      </c>
      <c r="D164" s="21" t="s">
        <v>1837</v>
      </c>
      <c r="E164" s="21" t="s">
        <v>1427</v>
      </c>
      <c r="F164" s="21" t="s">
        <v>1668</v>
      </c>
    </row>
    <row r="165" ht="15.75" customHeight="1">
      <c r="A165" s="21">
        <v>84.0</v>
      </c>
      <c r="B165" s="21" t="s">
        <v>1166</v>
      </c>
      <c r="C165" s="21" t="s">
        <v>76</v>
      </c>
      <c r="D165" s="21" t="s">
        <v>1842</v>
      </c>
      <c r="E165" s="21" t="s">
        <v>1845</v>
      </c>
      <c r="F165" s="21" t="s">
        <v>1676</v>
      </c>
    </row>
    <row r="166" ht="15.75" customHeight="1">
      <c r="A166" s="21">
        <v>89.0</v>
      </c>
      <c r="B166" s="21" t="s">
        <v>1194</v>
      </c>
      <c r="C166" s="21" t="s">
        <v>70</v>
      </c>
      <c r="D166" s="21" t="s">
        <v>1847</v>
      </c>
      <c r="E166" s="21" t="s">
        <v>1452</v>
      </c>
      <c r="F166" s="21" t="s">
        <v>1668</v>
      </c>
    </row>
    <row r="167" ht="15.75" customHeight="1">
      <c r="A167" s="21">
        <v>89.0</v>
      </c>
      <c r="B167" s="21" t="s">
        <v>1194</v>
      </c>
      <c r="C167" s="21" t="s">
        <v>76</v>
      </c>
      <c r="D167" s="21" t="s">
        <v>1851</v>
      </c>
      <c r="E167" s="21" t="s">
        <v>1852</v>
      </c>
      <c r="F167" s="21" t="s">
        <v>1676</v>
      </c>
    </row>
    <row r="168" ht="15.75" customHeight="1">
      <c r="A168" s="21">
        <v>95.0</v>
      </c>
      <c r="B168" s="21" t="s">
        <v>1221</v>
      </c>
      <c r="C168" s="21" t="s">
        <v>70</v>
      </c>
      <c r="D168" s="21" t="s">
        <v>1856</v>
      </c>
      <c r="E168" s="21" t="s">
        <v>1493</v>
      </c>
      <c r="F168" s="21" t="s">
        <v>1668</v>
      </c>
    </row>
    <row r="169" ht="15.75" customHeight="1">
      <c r="A169" s="21">
        <v>98.0</v>
      </c>
      <c r="B169" s="21" t="s">
        <v>1234</v>
      </c>
      <c r="C169" s="21" t="s">
        <v>70</v>
      </c>
      <c r="D169" s="21" t="s">
        <v>1857</v>
      </c>
      <c r="E169" s="21" t="s">
        <v>1509</v>
      </c>
      <c r="F169" s="21" t="s">
        <v>1668</v>
      </c>
    </row>
    <row r="170" ht="15.75" customHeight="1">
      <c r="A170" s="21">
        <v>105.0</v>
      </c>
      <c r="B170" s="21" t="s">
        <v>1262</v>
      </c>
      <c r="C170" s="21" t="s">
        <v>70</v>
      </c>
      <c r="D170" s="21" t="s">
        <v>1858</v>
      </c>
      <c r="E170" s="21" t="s">
        <v>1558</v>
      </c>
      <c r="F170" s="21" t="s">
        <v>1668</v>
      </c>
    </row>
    <row r="171" ht="15.75" customHeight="1">
      <c r="A171" s="21">
        <v>108.0</v>
      </c>
      <c r="B171" s="21" t="s">
        <v>1281</v>
      </c>
      <c r="C171" s="21" t="s">
        <v>70</v>
      </c>
      <c r="D171" s="21" t="s">
        <v>1859</v>
      </c>
      <c r="E171" s="21" t="s">
        <v>1577</v>
      </c>
      <c r="F171" s="21" t="s">
        <v>1668</v>
      </c>
    </row>
    <row r="172" ht="15.75" customHeight="1">
      <c r="A172" s="21">
        <v>108.0</v>
      </c>
      <c r="B172" s="21" t="s">
        <v>1281</v>
      </c>
      <c r="C172" s="21" t="s">
        <v>76</v>
      </c>
      <c r="D172" s="21" t="s">
        <v>1860</v>
      </c>
      <c r="E172" s="21" t="s">
        <v>1860</v>
      </c>
      <c r="F172" s="21" t="s">
        <v>1676</v>
      </c>
    </row>
    <row r="173" ht="15.75" customHeight="1">
      <c r="A173" s="21">
        <v>6.0</v>
      </c>
      <c r="B173" s="21" t="s">
        <v>325</v>
      </c>
      <c r="C173" s="21" t="s">
        <v>76</v>
      </c>
      <c r="D173" s="21" t="s">
        <v>1861</v>
      </c>
      <c r="E173" s="21" t="s">
        <v>356</v>
      </c>
      <c r="F173" s="21" t="s">
        <v>1862</v>
      </c>
    </row>
    <row r="174" ht="15.75" customHeight="1">
      <c r="A174" s="21">
        <v>7.0</v>
      </c>
      <c r="B174" s="21" t="s">
        <v>360</v>
      </c>
      <c r="C174" s="21" t="s">
        <v>76</v>
      </c>
      <c r="D174" s="21" t="s">
        <v>1861</v>
      </c>
      <c r="E174" s="21" t="s">
        <v>356</v>
      </c>
      <c r="F174" s="21" t="s">
        <v>1862</v>
      </c>
    </row>
    <row r="175" ht="15.75" customHeight="1">
      <c r="A175" s="21">
        <v>11.0</v>
      </c>
      <c r="B175" s="21" t="s">
        <v>431</v>
      </c>
      <c r="C175" s="21" t="s">
        <v>76</v>
      </c>
      <c r="D175" s="21" t="s">
        <v>1861</v>
      </c>
      <c r="E175" s="21" t="s">
        <v>356</v>
      </c>
      <c r="F175" s="21" t="s">
        <v>1862</v>
      </c>
    </row>
    <row r="176" ht="15.75" customHeight="1">
      <c r="A176" s="21">
        <v>23.0</v>
      </c>
      <c r="B176" s="21" t="s">
        <v>634</v>
      </c>
      <c r="C176" s="21" t="s">
        <v>76</v>
      </c>
      <c r="D176" s="21" t="s">
        <v>1863</v>
      </c>
      <c r="E176" s="21" t="s">
        <v>642</v>
      </c>
      <c r="F176" s="21" t="s">
        <v>1862</v>
      </c>
    </row>
    <row r="177" ht="15.75" customHeight="1">
      <c r="A177" s="21">
        <v>23.0</v>
      </c>
      <c r="B177" s="21" t="s">
        <v>634</v>
      </c>
      <c r="C177" s="21" t="s">
        <v>33</v>
      </c>
      <c r="D177" s="21" t="s">
        <v>1864</v>
      </c>
      <c r="E177" s="21" t="s">
        <v>105</v>
      </c>
      <c r="F177" s="21" t="s">
        <v>1865</v>
      </c>
    </row>
    <row r="178" ht="15.75" customHeight="1">
      <c r="A178" s="21">
        <v>23.0</v>
      </c>
      <c r="B178" s="21" t="s">
        <v>634</v>
      </c>
      <c r="C178" s="21" t="s">
        <v>39</v>
      </c>
      <c r="D178" s="21" t="s">
        <v>1866</v>
      </c>
      <c r="E178" s="21" t="s">
        <v>105</v>
      </c>
      <c r="F178" s="21" t="s">
        <v>1865</v>
      </c>
    </row>
    <row r="179" ht="15.75" customHeight="1">
      <c r="A179" s="21">
        <v>23.0</v>
      </c>
      <c r="B179" s="21" t="s">
        <v>634</v>
      </c>
      <c r="C179" s="21" t="s">
        <v>43</v>
      </c>
      <c r="D179" s="21" t="s">
        <v>1867</v>
      </c>
      <c r="E179" s="21" t="s">
        <v>105</v>
      </c>
      <c r="F179" s="21" t="s">
        <v>1865</v>
      </c>
    </row>
    <row r="180" ht="15.75" customHeight="1">
      <c r="A180" s="21">
        <v>55.0</v>
      </c>
      <c r="B180" s="21" t="s">
        <v>1222</v>
      </c>
      <c r="C180" s="21" t="s">
        <v>76</v>
      </c>
      <c r="D180" s="21" t="s">
        <v>1868</v>
      </c>
      <c r="E180" s="21" t="s">
        <v>1242</v>
      </c>
      <c r="F180" s="21" t="s">
        <v>1862</v>
      </c>
    </row>
    <row r="181" ht="15.75" customHeight="1">
      <c r="A181" s="21">
        <v>61.0</v>
      </c>
      <c r="B181" s="21" t="s">
        <v>1006</v>
      </c>
      <c r="C181" s="21" t="s">
        <v>76</v>
      </c>
      <c r="D181" s="21" t="s">
        <v>1869</v>
      </c>
      <c r="E181" s="21" t="s">
        <v>1306</v>
      </c>
      <c r="F181" s="21" t="s">
        <v>1862</v>
      </c>
    </row>
    <row r="182" ht="15.75" customHeight="1">
      <c r="A182" s="21">
        <v>61.0</v>
      </c>
      <c r="B182" s="21" t="s">
        <v>1006</v>
      </c>
      <c r="C182" s="21" t="s">
        <v>33</v>
      </c>
      <c r="D182" s="21" t="s">
        <v>1870</v>
      </c>
      <c r="E182" s="21" t="s">
        <v>105</v>
      </c>
      <c r="F182" s="21" t="s">
        <v>1871</v>
      </c>
    </row>
    <row r="183" ht="15.75" customHeight="1">
      <c r="A183" s="21">
        <v>61.0</v>
      </c>
      <c r="B183" s="21" t="s">
        <v>1006</v>
      </c>
      <c r="C183" s="21" t="s">
        <v>35</v>
      </c>
      <c r="D183" s="21" t="s">
        <v>1872</v>
      </c>
      <c r="E183" s="21" t="s">
        <v>105</v>
      </c>
      <c r="F183" s="21" t="s">
        <v>1871</v>
      </c>
    </row>
    <row r="184" ht="15.75" customHeight="1">
      <c r="A184" s="21">
        <v>61.0</v>
      </c>
      <c r="B184" s="21" t="s">
        <v>1006</v>
      </c>
      <c r="C184" s="21" t="s">
        <v>36</v>
      </c>
      <c r="D184" s="21" t="s">
        <v>1873</v>
      </c>
      <c r="E184" s="21" t="s">
        <v>105</v>
      </c>
      <c r="F184" s="21" t="s">
        <v>1871</v>
      </c>
    </row>
    <row r="185" ht="15.75" customHeight="1">
      <c r="A185" s="21">
        <v>61.0</v>
      </c>
      <c r="B185" s="21" t="s">
        <v>1006</v>
      </c>
      <c r="C185" s="21" t="s">
        <v>38</v>
      </c>
      <c r="D185" s="21" t="s">
        <v>1874</v>
      </c>
      <c r="E185" s="21" t="s">
        <v>105</v>
      </c>
      <c r="F185" s="21" t="s">
        <v>1871</v>
      </c>
    </row>
    <row r="186" ht="15.75" customHeight="1">
      <c r="A186" s="21">
        <v>61.0</v>
      </c>
      <c r="B186" s="21" t="s">
        <v>1006</v>
      </c>
      <c r="C186" s="21" t="s">
        <v>39</v>
      </c>
      <c r="D186" s="21" t="s">
        <v>1875</v>
      </c>
      <c r="E186" s="21" t="s">
        <v>105</v>
      </c>
      <c r="F186" s="21" t="s">
        <v>1871</v>
      </c>
    </row>
    <row r="187" ht="15.75" customHeight="1">
      <c r="A187" s="21">
        <v>61.0</v>
      </c>
      <c r="B187" s="21" t="s">
        <v>1006</v>
      </c>
      <c r="C187" s="21" t="s">
        <v>42</v>
      </c>
      <c r="D187" s="21" t="s">
        <v>1876</v>
      </c>
      <c r="E187" s="21" t="s">
        <v>105</v>
      </c>
      <c r="F187" s="21" t="s">
        <v>1871</v>
      </c>
    </row>
    <row r="188" ht="15.75" customHeight="1">
      <c r="A188" s="21">
        <v>61.0</v>
      </c>
      <c r="B188" s="21" t="s">
        <v>1006</v>
      </c>
      <c r="C188" s="21" t="s">
        <v>43</v>
      </c>
      <c r="D188" s="21" t="s">
        <v>1877</v>
      </c>
      <c r="E188" s="21" t="s">
        <v>105</v>
      </c>
      <c r="F188" s="21" t="s">
        <v>1871</v>
      </c>
    </row>
    <row r="189" ht="15.75" customHeight="1">
      <c r="A189" s="21">
        <v>61.0</v>
      </c>
      <c r="B189" s="21" t="s">
        <v>1006</v>
      </c>
      <c r="C189" s="21" t="s">
        <v>45</v>
      </c>
      <c r="D189" s="21" t="s">
        <v>1878</v>
      </c>
      <c r="E189" s="21" t="s">
        <v>105</v>
      </c>
      <c r="F189" s="21" t="s">
        <v>1871</v>
      </c>
    </row>
    <row r="190" ht="15.75" customHeight="1">
      <c r="A190" s="21">
        <v>61.0</v>
      </c>
      <c r="B190" s="21" t="s">
        <v>1006</v>
      </c>
      <c r="C190" s="21" t="s">
        <v>47</v>
      </c>
      <c r="D190" s="21" t="s">
        <v>1879</v>
      </c>
      <c r="E190" s="21" t="s">
        <v>105</v>
      </c>
      <c r="F190" s="21" t="s">
        <v>1871</v>
      </c>
    </row>
    <row r="191" ht="15.75" customHeight="1">
      <c r="A191" s="21">
        <v>61.0</v>
      </c>
      <c r="B191" s="21" t="s">
        <v>1006</v>
      </c>
      <c r="C191" s="21" t="s">
        <v>50</v>
      </c>
      <c r="D191" s="21" t="s">
        <v>1880</v>
      </c>
      <c r="E191" s="21" t="s">
        <v>105</v>
      </c>
      <c r="F191" s="21" t="s">
        <v>1871</v>
      </c>
    </row>
    <row r="192" ht="15.75" customHeight="1">
      <c r="A192" s="21">
        <v>75.0</v>
      </c>
      <c r="B192" s="21" t="s">
        <v>1062</v>
      </c>
      <c r="C192" s="21" t="s">
        <v>76</v>
      </c>
      <c r="D192" s="21" t="s">
        <v>1881</v>
      </c>
      <c r="E192" s="21" t="s">
        <v>1387</v>
      </c>
      <c r="F192" s="21" t="s">
        <v>1862</v>
      </c>
    </row>
    <row r="193" ht="15.75" customHeight="1">
      <c r="A193" s="21">
        <v>78.0</v>
      </c>
      <c r="B193" s="21" t="s">
        <v>996</v>
      </c>
      <c r="C193" s="21" t="s">
        <v>76</v>
      </c>
      <c r="D193" s="21" t="s">
        <v>1882</v>
      </c>
      <c r="E193" s="21" t="s">
        <v>1403</v>
      </c>
      <c r="F193" s="21" t="s">
        <v>1862</v>
      </c>
    </row>
    <row r="194" ht="15.75" customHeight="1">
      <c r="A194" s="21">
        <v>78.0</v>
      </c>
      <c r="B194" s="21" t="s">
        <v>996</v>
      </c>
      <c r="C194" s="21" t="s">
        <v>33</v>
      </c>
      <c r="D194" s="21" t="s">
        <v>1883</v>
      </c>
      <c r="E194" s="21" t="s">
        <v>105</v>
      </c>
      <c r="F194" s="21" t="s">
        <v>1884</v>
      </c>
    </row>
    <row r="195" ht="15.75" customHeight="1">
      <c r="A195" s="21">
        <v>78.0</v>
      </c>
      <c r="B195" s="21" t="s">
        <v>996</v>
      </c>
      <c r="C195" s="21" t="s">
        <v>35</v>
      </c>
      <c r="D195" s="21" t="s">
        <v>1885</v>
      </c>
      <c r="E195" s="21" t="s">
        <v>105</v>
      </c>
      <c r="F195" s="21" t="s">
        <v>1884</v>
      </c>
    </row>
    <row r="196" ht="15.75" customHeight="1">
      <c r="A196" s="21">
        <v>78.0</v>
      </c>
      <c r="B196" s="21" t="s">
        <v>996</v>
      </c>
      <c r="C196" s="21" t="s">
        <v>36</v>
      </c>
      <c r="D196" s="21" t="s">
        <v>1886</v>
      </c>
      <c r="E196" s="21" t="s">
        <v>105</v>
      </c>
      <c r="F196" s="21" t="s">
        <v>1884</v>
      </c>
    </row>
    <row r="197" ht="15.75" customHeight="1">
      <c r="A197" s="21">
        <v>78.0</v>
      </c>
      <c r="B197" s="21" t="s">
        <v>996</v>
      </c>
      <c r="C197" s="21" t="s">
        <v>38</v>
      </c>
      <c r="D197" s="21" t="s">
        <v>1887</v>
      </c>
      <c r="E197" s="21" t="s">
        <v>105</v>
      </c>
      <c r="F197" s="21" t="s">
        <v>1884</v>
      </c>
    </row>
    <row r="198" ht="15.75" customHeight="1">
      <c r="A198" s="21">
        <v>78.0</v>
      </c>
      <c r="B198" s="21" t="s">
        <v>996</v>
      </c>
      <c r="C198" s="21" t="s">
        <v>39</v>
      </c>
      <c r="D198" s="21" t="s">
        <v>1888</v>
      </c>
      <c r="E198" s="21" t="s">
        <v>105</v>
      </c>
      <c r="F198" s="21" t="s">
        <v>1884</v>
      </c>
    </row>
    <row r="199" ht="15.75" customHeight="1">
      <c r="A199" s="21">
        <v>78.0</v>
      </c>
      <c r="B199" s="21" t="s">
        <v>996</v>
      </c>
      <c r="C199" s="21" t="s">
        <v>43</v>
      </c>
      <c r="D199" s="21" t="s">
        <v>1889</v>
      </c>
      <c r="E199" s="21" t="s">
        <v>105</v>
      </c>
      <c r="F199" s="21" t="s">
        <v>1884</v>
      </c>
    </row>
    <row r="200" ht="15.75" customHeight="1">
      <c r="A200" s="21">
        <v>78.0</v>
      </c>
      <c r="B200" s="21" t="s">
        <v>996</v>
      </c>
      <c r="C200" s="21" t="s">
        <v>45</v>
      </c>
      <c r="D200" s="21" t="s">
        <v>1890</v>
      </c>
      <c r="E200" s="21" t="s">
        <v>105</v>
      </c>
      <c r="F200" s="21" t="s">
        <v>1884</v>
      </c>
    </row>
    <row r="201" ht="15.75" customHeight="1">
      <c r="A201" s="21">
        <v>78.0</v>
      </c>
      <c r="B201" s="21" t="s">
        <v>996</v>
      </c>
      <c r="C201" s="21" t="s">
        <v>47</v>
      </c>
      <c r="D201" s="21" t="s">
        <v>1891</v>
      </c>
      <c r="E201" s="21" t="s">
        <v>105</v>
      </c>
      <c r="F201" s="21" t="s">
        <v>1884</v>
      </c>
    </row>
    <row r="202" ht="15.75" customHeight="1">
      <c r="A202" s="21">
        <v>78.0</v>
      </c>
      <c r="B202" s="21" t="s">
        <v>996</v>
      </c>
      <c r="C202" s="21" t="s">
        <v>50</v>
      </c>
      <c r="D202" s="21" t="s">
        <v>1892</v>
      </c>
      <c r="E202" s="21" t="s">
        <v>105</v>
      </c>
      <c r="F202" s="21" t="s">
        <v>1884</v>
      </c>
    </row>
    <row r="203" ht="15.75" customHeight="1">
      <c r="A203" s="21">
        <v>81.0</v>
      </c>
      <c r="B203" s="21" t="s">
        <v>1414</v>
      </c>
      <c r="C203" s="21" t="s">
        <v>76</v>
      </c>
      <c r="D203" s="21" t="s">
        <v>1893</v>
      </c>
      <c r="E203" s="21" t="s">
        <v>1403</v>
      </c>
      <c r="F203" s="21" t="s">
        <v>1862</v>
      </c>
    </row>
    <row r="204" ht="15.75" customHeight="1">
      <c r="A204" s="21">
        <v>81.0</v>
      </c>
      <c r="B204" s="21" t="s">
        <v>1414</v>
      </c>
      <c r="C204" s="21" t="s">
        <v>33</v>
      </c>
      <c r="D204" s="21" t="s">
        <v>1883</v>
      </c>
      <c r="E204" s="21" t="s">
        <v>105</v>
      </c>
      <c r="F204" s="21" t="s">
        <v>1894</v>
      </c>
    </row>
    <row r="205" ht="15.75" customHeight="1">
      <c r="A205" s="21">
        <v>81.0</v>
      </c>
      <c r="B205" s="21" t="s">
        <v>1414</v>
      </c>
      <c r="C205" s="21" t="s">
        <v>35</v>
      </c>
      <c r="D205" s="21" t="s">
        <v>1885</v>
      </c>
      <c r="E205" s="21" t="s">
        <v>105</v>
      </c>
      <c r="F205" s="21" t="s">
        <v>1894</v>
      </c>
    </row>
    <row r="206" ht="15.75" customHeight="1">
      <c r="A206" s="21">
        <v>81.0</v>
      </c>
      <c r="B206" s="21" t="s">
        <v>1414</v>
      </c>
      <c r="C206" s="21" t="s">
        <v>36</v>
      </c>
      <c r="D206" s="21" t="s">
        <v>1886</v>
      </c>
      <c r="E206" s="21" t="s">
        <v>105</v>
      </c>
      <c r="F206" s="21" t="s">
        <v>1894</v>
      </c>
    </row>
    <row r="207" ht="15.75" customHeight="1">
      <c r="A207" s="21">
        <v>81.0</v>
      </c>
      <c r="B207" s="21" t="s">
        <v>1414</v>
      </c>
      <c r="C207" s="21" t="s">
        <v>38</v>
      </c>
      <c r="D207" s="21">
        <f>U81+V81</f>
        <v>0</v>
      </c>
      <c r="E207" s="21" t="s">
        <v>105</v>
      </c>
      <c r="F207" s="21" t="s">
        <v>1894</v>
      </c>
    </row>
    <row r="208" ht="15.75" customHeight="1">
      <c r="A208" s="21">
        <v>81.0</v>
      </c>
      <c r="B208" s="21" t="s">
        <v>1414</v>
      </c>
      <c r="C208" s="21" t="s">
        <v>39</v>
      </c>
      <c r="D208" s="21" t="s">
        <v>1888</v>
      </c>
      <c r="E208" s="21" t="s">
        <v>105</v>
      </c>
      <c r="F208" s="21" t="s">
        <v>1894</v>
      </c>
    </row>
    <row r="209" ht="15.75" customHeight="1">
      <c r="A209" s="21">
        <v>81.0</v>
      </c>
      <c r="B209" s="21" t="s">
        <v>1414</v>
      </c>
      <c r="C209" s="21" t="s">
        <v>43</v>
      </c>
      <c r="D209" s="21" t="s">
        <v>1889</v>
      </c>
      <c r="E209" s="21" t="s">
        <v>105</v>
      </c>
      <c r="F209" s="21" t="s">
        <v>1894</v>
      </c>
    </row>
    <row r="210" ht="15.75" customHeight="1">
      <c r="A210" s="21">
        <v>81.0</v>
      </c>
      <c r="B210" s="21" t="s">
        <v>1414</v>
      </c>
      <c r="C210" s="21" t="s">
        <v>45</v>
      </c>
      <c r="D210" s="21" t="s">
        <v>1890</v>
      </c>
      <c r="E210" s="21" t="s">
        <v>105</v>
      </c>
      <c r="F210" s="21" t="s">
        <v>1894</v>
      </c>
    </row>
    <row r="211" ht="15.75" customHeight="1">
      <c r="A211" s="21">
        <v>81.0</v>
      </c>
      <c r="B211" s="21" t="s">
        <v>1414</v>
      </c>
      <c r="C211" s="21" t="s">
        <v>47</v>
      </c>
      <c r="D211" s="21" t="s">
        <v>1891</v>
      </c>
      <c r="E211" s="21" t="s">
        <v>105</v>
      </c>
      <c r="F211" s="21" t="s">
        <v>1894</v>
      </c>
    </row>
    <row r="212" ht="15.75" customHeight="1">
      <c r="A212" s="21">
        <v>81.0</v>
      </c>
      <c r="B212" s="21" t="s">
        <v>1414</v>
      </c>
      <c r="C212" s="21" t="s">
        <v>50</v>
      </c>
      <c r="D212" s="21" t="s">
        <v>1892</v>
      </c>
      <c r="E212" s="21" t="s">
        <v>105</v>
      </c>
      <c r="F212" s="21" t="s">
        <v>1894</v>
      </c>
    </row>
    <row r="213" ht="15.75" customHeight="1">
      <c r="A213" s="21">
        <v>86.0</v>
      </c>
      <c r="B213" s="21" t="s">
        <v>1148</v>
      </c>
      <c r="C213" s="21" t="s">
        <v>76</v>
      </c>
      <c r="D213" s="21" t="s">
        <v>1895</v>
      </c>
      <c r="E213" s="21" t="s">
        <v>1435</v>
      </c>
      <c r="F213" s="21" t="s">
        <v>1862</v>
      </c>
    </row>
    <row r="214" ht="15.75" customHeight="1">
      <c r="A214" s="21">
        <v>17.0</v>
      </c>
      <c r="B214" s="21" t="s">
        <v>519</v>
      </c>
      <c r="C214" s="21" t="s">
        <v>38</v>
      </c>
      <c r="D214" s="21">
        <f>U17+V17</f>
        <v>0</v>
      </c>
      <c r="E214" s="21" t="s">
        <v>1896</v>
      </c>
      <c r="F214" s="21" t="s">
        <v>1897</v>
      </c>
    </row>
    <row r="215" ht="15.75" customHeight="1">
      <c r="A215" s="21">
        <v>24.0</v>
      </c>
      <c r="B215" s="21" t="s">
        <v>643</v>
      </c>
      <c r="C215" s="21" t="s">
        <v>50</v>
      </c>
      <c r="D215" s="21" t="str">
        <f>W24/Y24</f>
        <v>#DIV/0!</v>
      </c>
      <c r="E215" s="21" t="s">
        <v>105</v>
      </c>
      <c r="F215" s="21" t="s">
        <v>1897</v>
      </c>
    </row>
    <row r="216" ht="15.75" customHeight="1">
      <c r="A216" s="21">
        <v>94.0</v>
      </c>
      <c r="B216" s="21" t="s">
        <v>1217</v>
      </c>
      <c r="C216" s="21" t="s">
        <v>38</v>
      </c>
      <c r="D216" s="21" t="str">
        <f>IF(OR(U94="",V94=""),"",U94+V94)</f>
        <v/>
      </c>
      <c r="E216" s="21" t="s">
        <v>105</v>
      </c>
      <c r="F216" s="21" t="s">
        <v>1897</v>
      </c>
    </row>
    <row r="217" ht="15.75" customHeight="1">
      <c r="A217" s="21">
        <v>94.0</v>
      </c>
      <c r="B217" s="21" t="s">
        <v>1217</v>
      </c>
      <c r="C217" s="21" t="s">
        <v>50</v>
      </c>
      <c r="D217" s="21" t="str">
        <f>IF(OR(W94="",Y94="",Y94=0,ISNUMBER(Y94)=FALSE()),"",W94/Y94)</f>
        <v/>
      </c>
      <c r="E217" s="21" t="s">
        <v>105</v>
      </c>
      <c r="F217" s="21" t="s">
        <v>1897</v>
      </c>
    </row>
    <row r="218" ht="15.75" customHeight="1">
      <c r="A218" s="21">
        <v>12.0</v>
      </c>
      <c r="B218" s="21" t="s">
        <v>437</v>
      </c>
      <c r="C218" s="21" t="s">
        <v>21</v>
      </c>
      <c r="D218" s="21" t="s">
        <v>1149</v>
      </c>
      <c r="E218" s="21" t="s">
        <v>439</v>
      </c>
      <c r="F218" s="21" t="s">
        <v>1898</v>
      </c>
    </row>
    <row r="219" ht="15.75" customHeight="1">
      <c r="A219" s="21">
        <v>39.0</v>
      </c>
      <c r="B219" s="21" t="s">
        <v>908</v>
      </c>
      <c r="C219" s="21" t="s">
        <v>39</v>
      </c>
      <c r="D219" s="21" t="s">
        <v>105</v>
      </c>
      <c r="E219" s="21" t="s">
        <v>1899</v>
      </c>
      <c r="F219" s="21" t="s">
        <v>1900</v>
      </c>
    </row>
    <row r="220" ht="15.75" customHeight="1">
      <c r="A220" s="21">
        <v>39.0</v>
      </c>
      <c r="B220" s="21" t="s">
        <v>908</v>
      </c>
      <c r="C220" s="21" t="s">
        <v>76</v>
      </c>
      <c r="D220" s="21" t="s">
        <v>1901</v>
      </c>
      <c r="E220" s="21" t="s">
        <v>1902</v>
      </c>
      <c r="F220" s="21" t="s">
        <v>1903</v>
      </c>
    </row>
    <row r="221" ht="15.75" customHeight="1">
      <c r="A221" s="21" t="s">
        <v>1700</v>
      </c>
      <c r="B221" s="21" t="s">
        <v>1904</v>
      </c>
      <c r="C221" s="21" t="s">
        <v>1905</v>
      </c>
      <c r="D221" s="21" t="s">
        <v>1906</v>
      </c>
      <c r="E221" s="21" t="s">
        <v>1907</v>
      </c>
      <c r="F221" s="21" t="s">
        <v>1908</v>
      </c>
    </row>
    <row r="222" ht="15.75" customHeight="1">
      <c r="A222" s="21" t="s">
        <v>1700</v>
      </c>
      <c r="B222" s="21" t="s">
        <v>1909</v>
      </c>
      <c r="C222" s="21" t="s">
        <v>1910</v>
      </c>
      <c r="D222" s="21" t="str">
        <f>COUNTIF(...AS2:AS108,"Divyata")</f>
        <v>#ERROR!</v>
      </c>
      <c r="E222" s="21" t="str">
        <f>COUNTIF(...AS2:AS108,"Ankita D")</f>
        <v>#ERROR!</v>
      </c>
      <c r="F222" s="21" t="s">
        <v>1911</v>
      </c>
    </row>
    <row r="223" ht="15.75" customHeight="1">
      <c r="A223" s="21" t="s">
        <v>1700</v>
      </c>
      <c r="B223" s="21" t="s">
        <v>1909</v>
      </c>
      <c r="C223" s="21" t="s">
        <v>1912</v>
      </c>
      <c r="D223" s="21" t="s">
        <v>1913</v>
      </c>
      <c r="E223" s="21" t="s">
        <v>1914</v>
      </c>
      <c r="F223" s="21" t="s">
        <v>1915</v>
      </c>
    </row>
    <row r="224" ht="15.75" customHeight="1">
      <c r="A224" s="21">
        <v>94.0</v>
      </c>
      <c r="B224" s="21" t="s">
        <v>1217</v>
      </c>
      <c r="C224" s="21" t="s">
        <v>38</v>
      </c>
      <c r="D224" s="21" t="s">
        <v>1916</v>
      </c>
      <c r="E224" s="21" t="s">
        <v>1917</v>
      </c>
      <c r="F224" s="21" t="s">
        <v>1918</v>
      </c>
    </row>
    <row r="225" ht="15.75" customHeight="1">
      <c r="A225" s="21">
        <v>94.0</v>
      </c>
      <c r="B225" s="21" t="s">
        <v>1217</v>
      </c>
      <c r="C225" s="21" t="s">
        <v>50</v>
      </c>
      <c r="D225" s="21" t="s">
        <v>1916</v>
      </c>
      <c r="E225" s="21" t="s">
        <v>1919</v>
      </c>
      <c r="F225" s="21" t="s">
        <v>1920</v>
      </c>
    </row>
    <row r="226" ht="15.75" customHeight="1">
      <c r="A226" s="21">
        <v>45.0</v>
      </c>
      <c r="B226" s="21" t="s">
        <v>938</v>
      </c>
      <c r="C226" s="21" t="s">
        <v>76</v>
      </c>
      <c r="D226" s="21" t="s">
        <v>1921</v>
      </c>
      <c r="E226" s="21" t="s">
        <v>1922</v>
      </c>
      <c r="F226" s="21" t="s">
        <v>1923</v>
      </c>
    </row>
    <row r="227" ht="15.75" customHeight="1">
      <c r="A227" s="21">
        <v>41.0</v>
      </c>
      <c r="B227" s="21" t="s">
        <v>916</v>
      </c>
      <c r="C227" s="21" t="s">
        <v>76</v>
      </c>
      <c r="D227" s="21" t="s">
        <v>1924</v>
      </c>
      <c r="E227" s="21" t="s">
        <v>1925</v>
      </c>
      <c r="F227" s="21" t="s">
        <v>1926</v>
      </c>
    </row>
    <row r="228" ht="15.75" customHeight="1">
      <c r="A228" s="21" t="s">
        <v>1700</v>
      </c>
      <c r="B228" s="21" t="s">
        <v>1700</v>
      </c>
      <c r="C228" s="21" t="s">
        <v>1927</v>
      </c>
      <c r="D228" s="21" t="s">
        <v>1928</v>
      </c>
      <c r="E228" s="21" t="s">
        <v>1929</v>
      </c>
      <c r="F228" s="21" t="s">
        <v>1930</v>
      </c>
    </row>
    <row r="229" ht="15.75" customHeight="1">
      <c r="A229" s="21" t="s">
        <v>1700</v>
      </c>
      <c r="B229" s="21" t="s">
        <v>1688</v>
      </c>
      <c r="C229" s="21" t="s">
        <v>1927</v>
      </c>
      <c r="D229" s="21" t="s">
        <v>1931</v>
      </c>
      <c r="E229" s="21" t="s">
        <v>1932</v>
      </c>
      <c r="F229" s="21" t="s">
        <v>1933</v>
      </c>
    </row>
    <row r="230" ht="15.75" customHeight="1">
      <c r="A230" s="21">
        <v>12.0</v>
      </c>
      <c r="B230" s="21" t="s">
        <v>437</v>
      </c>
      <c r="C230" s="21" t="s">
        <v>39</v>
      </c>
      <c r="D230" s="21" t="s">
        <v>1934</v>
      </c>
      <c r="E230" s="21" t="s">
        <v>1935</v>
      </c>
      <c r="F230" s="21" t="s">
        <v>1936</v>
      </c>
    </row>
    <row r="231" ht="15.75" customHeight="1">
      <c r="A231" s="21">
        <v>12.0</v>
      </c>
      <c r="B231" s="21" t="s">
        <v>437</v>
      </c>
      <c r="C231" s="21" t="s">
        <v>50</v>
      </c>
      <c r="D231" s="21" t="s">
        <v>1937</v>
      </c>
      <c r="E231" s="21" t="s">
        <v>105</v>
      </c>
      <c r="F231" s="21" t="s">
        <v>1938</v>
      </c>
    </row>
    <row r="232" ht="15.75" customHeight="1">
      <c r="A232" s="21">
        <v>12.0</v>
      </c>
      <c r="B232" s="21" t="s">
        <v>437</v>
      </c>
      <c r="C232" s="21" t="s">
        <v>71</v>
      </c>
      <c r="D232" s="21" t="s">
        <v>630</v>
      </c>
      <c r="E232" s="21" t="s">
        <v>452</v>
      </c>
      <c r="F232" s="21" t="s">
        <v>1939</v>
      </c>
    </row>
    <row r="233" ht="15.75" customHeight="1">
      <c r="A233" s="21">
        <v>12.0</v>
      </c>
      <c r="B233" s="21" t="s">
        <v>437</v>
      </c>
      <c r="C233" s="21" t="s">
        <v>76</v>
      </c>
      <c r="D233" s="21" t="s">
        <v>1940</v>
      </c>
      <c r="E233" s="21" t="s">
        <v>1940</v>
      </c>
      <c r="F233" s="21" t="s">
        <v>1941</v>
      </c>
    </row>
    <row r="234" ht="15.75" customHeight="1">
      <c r="A234" s="21">
        <v>17.0</v>
      </c>
      <c r="B234" s="21" t="s">
        <v>519</v>
      </c>
      <c r="C234" s="21" t="s">
        <v>36</v>
      </c>
      <c r="D234" s="21" t="s">
        <v>1942</v>
      </c>
      <c r="E234" s="21" t="s">
        <v>105</v>
      </c>
      <c r="F234" s="21" t="s">
        <v>1943</v>
      </c>
    </row>
    <row r="235" ht="15.75" customHeight="1">
      <c r="A235" s="21">
        <v>17.0</v>
      </c>
      <c r="B235" s="21" t="s">
        <v>519</v>
      </c>
      <c r="C235" s="21" t="s">
        <v>38</v>
      </c>
      <c r="D235" s="21" t="s">
        <v>1944</v>
      </c>
      <c r="E235" s="21" t="s">
        <v>105</v>
      </c>
      <c r="F235" s="21" t="s">
        <v>1945</v>
      </c>
    </row>
    <row r="236" ht="15.75" customHeight="1">
      <c r="A236" s="21">
        <v>17.0</v>
      </c>
      <c r="B236" s="21" t="s">
        <v>519</v>
      </c>
      <c r="C236" s="21" t="s">
        <v>50</v>
      </c>
      <c r="D236" s="21" t="s">
        <v>1946</v>
      </c>
      <c r="E236" s="21" t="s">
        <v>105</v>
      </c>
      <c r="F236" s="21" t="s">
        <v>1947</v>
      </c>
    </row>
    <row r="237" ht="15.75" customHeight="1">
      <c r="A237" s="21">
        <v>17.0</v>
      </c>
      <c r="B237" s="21" t="s">
        <v>519</v>
      </c>
      <c r="C237" s="21" t="s">
        <v>42</v>
      </c>
      <c r="D237" s="21" t="s">
        <v>1948</v>
      </c>
      <c r="E237" s="21" t="s">
        <v>1949</v>
      </c>
      <c r="F237" s="21" t="s">
        <v>1950</v>
      </c>
    </row>
    <row r="238" ht="15.75" customHeight="1">
      <c r="A238" s="21">
        <v>17.0</v>
      </c>
      <c r="B238" s="21" t="s">
        <v>519</v>
      </c>
      <c r="C238" s="21" t="s">
        <v>47</v>
      </c>
      <c r="D238" s="21" t="s">
        <v>1951</v>
      </c>
      <c r="E238" s="21" t="s">
        <v>1952</v>
      </c>
      <c r="F238" s="21" t="s">
        <v>1953</v>
      </c>
    </row>
    <row r="239" ht="15.75" customHeight="1">
      <c r="A239" s="21">
        <v>17.0</v>
      </c>
      <c r="B239" s="21" t="s">
        <v>519</v>
      </c>
      <c r="C239" s="21" t="s">
        <v>70</v>
      </c>
      <c r="D239" s="21" t="s">
        <v>1954</v>
      </c>
      <c r="E239" s="21" t="s">
        <v>528</v>
      </c>
      <c r="F239" s="21" t="s">
        <v>1955</v>
      </c>
    </row>
    <row r="240" ht="15.75" customHeight="1">
      <c r="A240" s="21">
        <v>17.0</v>
      </c>
      <c r="B240" s="21" t="s">
        <v>519</v>
      </c>
      <c r="C240" s="21" t="s">
        <v>76</v>
      </c>
      <c r="D240" s="21" t="s">
        <v>1956</v>
      </c>
      <c r="E240" s="21" t="s">
        <v>1957</v>
      </c>
      <c r="F240" s="21" t="s">
        <v>1958</v>
      </c>
    </row>
    <row r="241" ht="15.75" customHeight="1">
      <c r="A241" s="21">
        <v>4.0</v>
      </c>
      <c r="B241" s="21" t="s">
        <v>247</v>
      </c>
      <c r="C241" s="21" t="s">
        <v>53</v>
      </c>
      <c r="D241" s="21" t="s">
        <v>218</v>
      </c>
      <c r="E241" s="21" t="s">
        <v>257</v>
      </c>
      <c r="F241" s="21" t="s">
        <v>1959</v>
      </c>
    </row>
    <row r="242" ht="15.75" customHeight="1">
      <c r="A242" s="21">
        <v>4.0</v>
      </c>
      <c r="B242" s="21" t="s">
        <v>247</v>
      </c>
      <c r="C242" s="21" t="s">
        <v>76</v>
      </c>
      <c r="D242" s="21" t="s">
        <v>1674</v>
      </c>
      <c r="E242" s="21" t="s">
        <v>1674</v>
      </c>
      <c r="F242" s="21" t="s">
        <v>1960</v>
      </c>
    </row>
    <row r="243" ht="15.75" customHeight="1">
      <c r="A243" s="21">
        <v>10.0</v>
      </c>
      <c r="B243" s="21" t="s">
        <v>417</v>
      </c>
      <c r="C243" s="21" t="s">
        <v>53</v>
      </c>
      <c r="D243" s="21" t="s">
        <v>218</v>
      </c>
      <c r="E243" s="21" t="s">
        <v>257</v>
      </c>
      <c r="F243" s="21" t="s">
        <v>1959</v>
      </c>
    </row>
    <row r="244" ht="15.75" customHeight="1">
      <c r="A244" s="21">
        <v>10.0</v>
      </c>
      <c r="B244" s="21" t="s">
        <v>417</v>
      </c>
      <c r="C244" s="21" t="s">
        <v>76</v>
      </c>
      <c r="D244" s="21" t="s">
        <v>1961</v>
      </c>
      <c r="E244" s="21" t="s">
        <v>1962</v>
      </c>
      <c r="F244" s="21" t="s">
        <v>1960</v>
      </c>
    </row>
    <row r="245" ht="15.75" customHeight="1">
      <c r="A245" s="21">
        <v>14.0</v>
      </c>
      <c r="B245" s="21" t="s">
        <v>472</v>
      </c>
      <c r="C245" s="21" t="s">
        <v>53</v>
      </c>
      <c r="D245" s="21" t="s">
        <v>1963</v>
      </c>
      <c r="E245" s="21" t="s">
        <v>106</v>
      </c>
      <c r="F245" s="21" t="s">
        <v>1959</v>
      </c>
    </row>
    <row r="246" ht="15.75" customHeight="1">
      <c r="A246" s="21">
        <v>14.0</v>
      </c>
      <c r="B246" s="21" t="s">
        <v>472</v>
      </c>
      <c r="C246" s="21" t="s">
        <v>76</v>
      </c>
      <c r="D246" s="21" t="s">
        <v>1964</v>
      </c>
      <c r="E246" s="21" t="s">
        <v>1965</v>
      </c>
      <c r="F246" s="21" t="s">
        <v>1960</v>
      </c>
    </row>
    <row r="247" ht="15.75" customHeight="1">
      <c r="A247" s="21">
        <v>16.0</v>
      </c>
      <c r="B247" s="21" t="s">
        <v>501</v>
      </c>
      <c r="C247" s="21" t="s">
        <v>53</v>
      </c>
      <c r="D247" s="21" t="s">
        <v>106</v>
      </c>
      <c r="E247" s="21" t="s">
        <v>506</v>
      </c>
      <c r="F247" s="21" t="s">
        <v>1959</v>
      </c>
    </row>
    <row r="248" ht="15.75" customHeight="1">
      <c r="A248" s="21">
        <v>16.0</v>
      </c>
      <c r="B248" s="21" t="s">
        <v>501</v>
      </c>
      <c r="C248" s="21" t="s">
        <v>76</v>
      </c>
      <c r="D248" s="21" t="s">
        <v>1966</v>
      </c>
      <c r="E248" s="21" t="s">
        <v>1967</v>
      </c>
      <c r="F248" s="21" t="s">
        <v>1960</v>
      </c>
    </row>
    <row r="249" ht="15.75" customHeight="1">
      <c r="A249" s="21">
        <v>20.0</v>
      </c>
      <c r="B249" s="21" t="s">
        <v>571</v>
      </c>
      <c r="C249" s="21" t="s">
        <v>53</v>
      </c>
      <c r="D249" s="21" t="s">
        <v>105</v>
      </c>
      <c r="E249" s="21" t="s">
        <v>576</v>
      </c>
      <c r="F249" s="21" t="s">
        <v>1959</v>
      </c>
    </row>
    <row r="250" ht="15.75" customHeight="1">
      <c r="A250" s="21">
        <v>20.0</v>
      </c>
      <c r="B250" s="21" t="s">
        <v>571</v>
      </c>
      <c r="C250" s="21" t="s">
        <v>76</v>
      </c>
      <c r="D250" s="21" t="s">
        <v>1968</v>
      </c>
      <c r="E250" s="21" t="s">
        <v>1968</v>
      </c>
      <c r="F250" s="21" t="s">
        <v>1960</v>
      </c>
    </row>
    <row r="251" ht="15.75" customHeight="1">
      <c r="A251" s="21">
        <v>21.0</v>
      </c>
      <c r="B251" s="21" t="s">
        <v>591</v>
      </c>
      <c r="C251" s="21" t="s">
        <v>53</v>
      </c>
      <c r="D251" s="21" t="s">
        <v>1969</v>
      </c>
      <c r="E251" s="21" t="s">
        <v>506</v>
      </c>
      <c r="F251" s="21" t="s">
        <v>1959</v>
      </c>
    </row>
    <row r="252" ht="15.75" customHeight="1">
      <c r="A252" s="21">
        <v>21.0</v>
      </c>
      <c r="B252" s="21" t="s">
        <v>591</v>
      </c>
      <c r="C252" s="21" t="s">
        <v>76</v>
      </c>
      <c r="D252" s="21" t="s">
        <v>1970</v>
      </c>
      <c r="E252" s="21" t="s">
        <v>1970</v>
      </c>
      <c r="F252" s="21" t="s">
        <v>1960</v>
      </c>
    </row>
    <row r="253" ht="15.75" customHeight="1">
      <c r="A253" s="21">
        <v>28.0</v>
      </c>
      <c r="B253" s="21" t="s">
        <v>717</v>
      </c>
      <c r="C253" s="21" t="s">
        <v>53</v>
      </c>
      <c r="D253" s="21" t="s">
        <v>105</v>
      </c>
      <c r="E253" s="21" t="s">
        <v>576</v>
      </c>
      <c r="F253" s="21" t="s">
        <v>1959</v>
      </c>
    </row>
    <row r="254" ht="15.75" customHeight="1">
      <c r="A254" s="21">
        <v>28.0</v>
      </c>
      <c r="B254" s="21" t="s">
        <v>717</v>
      </c>
      <c r="C254" s="21" t="s">
        <v>76</v>
      </c>
      <c r="D254" s="21" t="s">
        <v>1971</v>
      </c>
      <c r="E254" s="21" t="s">
        <v>1971</v>
      </c>
      <c r="F254" s="21" t="s">
        <v>1960</v>
      </c>
    </row>
    <row r="255" ht="15.75" customHeight="1">
      <c r="A255" s="21">
        <v>29.0</v>
      </c>
      <c r="B255" s="21" t="s">
        <v>730</v>
      </c>
      <c r="C255" s="21" t="s">
        <v>53</v>
      </c>
      <c r="D255" s="21" t="s">
        <v>218</v>
      </c>
      <c r="E255" s="21" t="s">
        <v>506</v>
      </c>
      <c r="F255" s="21" t="s">
        <v>1959</v>
      </c>
    </row>
    <row r="256" ht="15.75" customHeight="1">
      <c r="A256" s="21">
        <v>29.0</v>
      </c>
      <c r="B256" s="21" t="s">
        <v>730</v>
      </c>
      <c r="C256" s="21" t="s">
        <v>76</v>
      </c>
      <c r="D256" s="21" t="s">
        <v>1972</v>
      </c>
      <c r="E256" s="21" t="s">
        <v>1972</v>
      </c>
      <c r="F256" s="21" t="s">
        <v>1960</v>
      </c>
    </row>
    <row r="257" ht="15.75" customHeight="1">
      <c r="A257" s="21">
        <v>31.0</v>
      </c>
      <c r="B257" s="21" t="s">
        <v>761</v>
      </c>
      <c r="C257" s="21" t="s">
        <v>53</v>
      </c>
      <c r="D257" s="21" t="s">
        <v>218</v>
      </c>
      <c r="E257" s="21" t="s">
        <v>576</v>
      </c>
      <c r="F257" s="21" t="s">
        <v>1959</v>
      </c>
    </row>
    <row r="258" ht="15.75" customHeight="1">
      <c r="A258" s="21">
        <v>31.0</v>
      </c>
      <c r="B258" s="21" t="s">
        <v>761</v>
      </c>
      <c r="C258" s="21" t="s">
        <v>76</v>
      </c>
      <c r="D258" s="21" t="s">
        <v>1973</v>
      </c>
      <c r="E258" s="21" t="s">
        <v>1973</v>
      </c>
      <c r="F258" s="21" t="s">
        <v>1960</v>
      </c>
    </row>
    <row r="259" ht="15.75" customHeight="1">
      <c r="A259" s="21">
        <v>76.0</v>
      </c>
      <c r="B259" s="21" t="s">
        <v>485</v>
      </c>
      <c r="C259" s="21" t="s">
        <v>53</v>
      </c>
      <c r="D259" s="21" t="s">
        <v>106</v>
      </c>
      <c r="E259" s="21" t="s">
        <v>576</v>
      </c>
      <c r="F259" s="21" t="s">
        <v>1959</v>
      </c>
    </row>
    <row r="260" ht="15.75" customHeight="1">
      <c r="A260" s="21">
        <v>76.0</v>
      </c>
      <c r="B260" s="21" t="s">
        <v>485</v>
      </c>
      <c r="C260" s="21" t="s">
        <v>76</v>
      </c>
      <c r="D260" s="21" t="s">
        <v>1974</v>
      </c>
      <c r="E260" s="21" t="s">
        <v>1975</v>
      </c>
      <c r="F260" s="21" t="s">
        <v>1960</v>
      </c>
    </row>
    <row r="261" ht="15.75" customHeight="1">
      <c r="A261" s="21">
        <v>21.0</v>
      </c>
      <c r="B261" s="21" t="s">
        <v>591</v>
      </c>
      <c r="C261" s="21" t="s">
        <v>70</v>
      </c>
      <c r="D261" s="21" t="s">
        <v>1976</v>
      </c>
      <c r="E261" s="21" t="s">
        <v>602</v>
      </c>
      <c r="F261" s="21" t="s">
        <v>1977</v>
      </c>
    </row>
    <row r="262" ht="15.75" customHeight="1">
      <c r="A262" s="21">
        <v>29.0</v>
      </c>
      <c r="B262" s="21" t="s">
        <v>730</v>
      </c>
      <c r="C262" s="21" t="s">
        <v>70</v>
      </c>
      <c r="D262" s="21" t="s">
        <v>1978</v>
      </c>
      <c r="E262" s="21" t="s">
        <v>602</v>
      </c>
      <c r="F262" s="21" t="s">
        <v>1979</v>
      </c>
    </row>
    <row r="263" ht="15.75" customHeight="1">
      <c r="A263" s="21">
        <v>76.0</v>
      </c>
      <c r="B263" s="21" t="s">
        <v>485</v>
      </c>
      <c r="C263" s="21" t="s">
        <v>70</v>
      </c>
      <c r="D263" s="21" t="s">
        <v>1386</v>
      </c>
      <c r="E263" s="21" t="s">
        <v>1388</v>
      </c>
      <c r="F263" s="21" t="s">
        <v>1980</v>
      </c>
    </row>
    <row r="264" ht="15.75" customHeight="1">
      <c r="A264" s="21">
        <v>10.0</v>
      </c>
      <c r="B264" s="21" t="s">
        <v>417</v>
      </c>
      <c r="C264" s="21" t="s">
        <v>76</v>
      </c>
      <c r="D264" s="21" t="s">
        <v>1962</v>
      </c>
      <c r="E264" s="21" t="s">
        <v>1962</v>
      </c>
      <c r="F264" s="21" t="s">
        <v>1981</v>
      </c>
    </row>
    <row r="265" ht="15.75" customHeight="1">
      <c r="A265" s="21">
        <v>30.0</v>
      </c>
      <c r="B265" s="21" t="s">
        <v>744</v>
      </c>
      <c r="C265" s="21" t="s">
        <v>76</v>
      </c>
      <c r="D265" s="21" t="s">
        <v>1982</v>
      </c>
      <c r="E265" s="21" t="s">
        <v>1982</v>
      </c>
      <c r="F265" s="21" t="s">
        <v>1983</v>
      </c>
    </row>
    <row r="266" ht="15.75" customHeight="1">
      <c r="A266" s="21">
        <v>73.0</v>
      </c>
      <c r="B266" s="21" t="s">
        <v>801</v>
      </c>
      <c r="C266" s="21" t="s">
        <v>76</v>
      </c>
      <c r="D266" s="21" t="s">
        <v>1825</v>
      </c>
      <c r="E266" s="21" t="s">
        <v>1825</v>
      </c>
      <c r="F266" s="21" t="s">
        <v>1984</v>
      </c>
    </row>
    <row r="267" ht="15.75" customHeight="1">
      <c r="A267" s="21">
        <v>16.0</v>
      </c>
      <c r="B267" s="21" t="s">
        <v>501</v>
      </c>
      <c r="C267" s="21" t="s">
        <v>76</v>
      </c>
      <c r="D267" s="21" t="s">
        <v>1967</v>
      </c>
      <c r="E267" s="21" t="s">
        <v>1985</v>
      </c>
      <c r="F267" s="21" t="s">
        <v>1986</v>
      </c>
    </row>
    <row r="268" ht="15.75" customHeight="1">
      <c r="A268" s="21">
        <v>76.0</v>
      </c>
      <c r="B268" s="21" t="s">
        <v>485</v>
      </c>
      <c r="C268" s="21" t="s">
        <v>76</v>
      </c>
      <c r="D268" s="21" t="s">
        <v>1975</v>
      </c>
      <c r="E268" s="21" t="s">
        <v>1975</v>
      </c>
      <c r="F268" s="21" t="s">
        <v>1987</v>
      </c>
    </row>
    <row r="269" ht="15.75" customHeight="1">
      <c r="A269" s="21">
        <v>18.0</v>
      </c>
      <c r="B269" s="21" t="s">
        <v>539</v>
      </c>
      <c r="C269" s="21" t="s">
        <v>76</v>
      </c>
      <c r="D269" s="21" t="s">
        <v>1988</v>
      </c>
      <c r="E269" s="21" t="s">
        <v>1988</v>
      </c>
      <c r="F269" s="21" t="s">
        <v>1989</v>
      </c>
    </row>
    <row r="270" ht="15.75" customHeight="1">
      <c r="A270" s="21">
        <v>22.0</v>
      </c>
      <c r="B270" s="21" t="s">
        <v>610</v>
      </c>
      <c r="C270" s="21" t="s">
        <v>76</v>
      </c>
      <c r="D270" s="21" t="s">
        <v>1990</v>
      </c>
      <c r="E270" s="21" t="s">
        <v>1990</v>
      </c>
      <c r="F270" s="21" t="s">
        <v>1989</v>
      </c>
    </row>
    <row r="271" ht="15.75" customHeight="1">
      <c r="A271" s="21">
        <v>24.0</v>
      </c>
      <c r="B271" s="21" t="s">
        <v>643</v>
      </c>
      <c r="C271" s="21" t="s">
        <v>76</v>
      </c>
      <c r="D271" s="21" t="s">
        <v>1991</v>
      </c>
      <c r="E271" s="21" t="s">
        <v>1991</v>
      </c>
      <c r="F271" s="21" t="s">
        <v>1989</v>
      </c>
    </row>
    <row r="272" ht="15.75" customHeight="1">
      <c r="A272" s="21">
        <v>25.0</v>
      </c>
      <c r="B272" s="21" t="s">
        <v>661</v>
      </c>
      <c r="C272" s="21" t="s">
        <v>76</v>
      </c>
      <c r="D272" s="21" t="s">
        <v>1692</v>
      </c>
      <c r="E272" s="21" t="s">
        <v>1692</v>
      </c>
      <c r="F272" s="21" t="s">
        <v>1989</v>
      </c>
    </row>
    <row r="273" ht="15.75" customHeight="1">
      <c r="A273" s="21">
        <v>4.0</v>
      </c>
      <c r="B273" s="21" t="s">
        <v>247</v>
      </c>
      <c r="C273" s="21" t="s">
        <v>74</v>
      </c>
      <c r="D273" s="21" t="s">
        <v>553</v>
      </c>
      <c r="E273" s="21" t="s">
        <v>190</v>
      </c>
      <c r="F273" s="21" t="s">
        <v>1992</v>
      </c>
    </row>
    <row r="274" ht="15.75" customHeight="1">
      <c r="A274" s="21">
        <v>4.0</v>
      </c>
      <c r="B274" s="21" t="s">
        <v>247</v>
      </c>
      <c r="C274" s="21" t="s">
        <v>73</v>
      </c>
      <c r="D274" s="21" t="s">
        <v>1993</v>
      </c>
      <c r="E274" s="21" t="s">
        <v>1994</v>
      </c>
      <c r="F274" s="21" t="s">
        <v>1995</v>
      </c>
    </row>
    <row r="275" ht="15.75" customHeight="1">
      <c r="A275" s="21">
        <v>5.0</v>
      </c>
      <c r="B275" s="21" t="s">
        <v>290</v>
      </c>
      <c r="C275" s="21" t="s">
        <v>74</v>
      </c>
      <c r="D275" s="21" t="s">
        <v>553</v>
      </c>
      <c r="E275" s="21" t="s">
        <v>190</v>
      </c>
      <c r="F275" s="21" t="s">
        <v>1992</v>
      </c>
    </row>
    <row r="276" ht="15.75" customHeight="1">
      <c r="A276" s="21">
        <v>5.0</v>
      </c>
      <c r="B276" s="21" t="s">
        <v>290</v>
      </c>
      <c r="C276" s="21" t="s">
        <v>73</v>
      </c>
      <c r="D276" s="21" t="s">
        <v>1996</v>
      </c>
      <c r="E276" s="21" t="s">
        <v>1994</v>
      </c>
      <c r="F276" s="21" t="s">
        <v>1995</v>
      </c>
    </row>
    <row r="277" ht="15.75" customHeight="1">
      <c r="A277" s="21">
        <v>8.0</v>
      </c>
      <c r="B277" s="21" t="s">
        <v>374</v>
      </c>
      <c r="C277" s="21" t="s">
        <v>74</v>
      </c>
      <c r="D277" s="21" t="s">
        <v>553</v>
      </c>
      <c r="E277" s="21" t="s">
        <v>190</v>
      </c>
      <c r="F277" s="21" t="s">
        <v>1992</v>
      </c>
    </row>
    <row r="278" ht="15.75" customHeight="1">
      <c r="A278" s="21">
        <v>8.0</v>
      </c>
      <c r="B278" s="21" t="s">
        <v>374</v>
      </c>
      <c r="C278" s="21" t="s">
        <v>73</v>
      </c>
      <c r="D278" s="21" t="s">
        <v>1996</v>
      </c>
      <c r="E278" s="21" t="s">
        <v>1994</v>
      </c>
      <c r="F278" s="21" t="s">
        <v>1995</v>
      </c>
    </row>
    <row r="279" ht="15.75" customHeight="1">
      <c r="A279" s="21">
        <v>10.0</v>
      </c>
      <c r="B279" s="21" t="s">
        <v>417</v>
      </c>
      <c r="C279" s="21" t="s">
        <v>74</v>
      </c>
      <c r="D279" s="21" t="s">
        <v>553</v>
      </c>
      <c r="E279" s="21" t="s">
        <v>190</v>
      </c>
      <c r="F279" s="21" t="s">
        <v>1992</v>
      </c>
    </row>
    <row r="280" ht="15.75" customHeight="1">
      <c r="A280" s="21">
        <v>10.0</v>
      </c>
      <c r="B280" s="21" t="s">
        <v>417</v>
      </c>
      <c r="C280" s="21" t="s">
        <v>73</v>
      </c>
      <c r="D280" s="21" t="s">
        <v>1997</v>
      </c>
      <c r="E280" s="21" t="s">
        <v>1994</v>
      </c>
      <c r="F280" s="21" t="s">
        <v>1995</v>
      </c>
    </row>
    <row r="281" ht="15.75" customHeight="1">
      <c r="A281" s="21">
        <v>12.0</v>
      </c>
      <c r="B281" s="21" t="s">
        <v>437</v>
      </c>
      <c r="C281" s="21" t="s">
        <v>74</v>
      </c>
      <c r="D281" s="21" t="s">
        <v>553</v>
      </c>
      <c r="E281" s="21" t="s">
        <v>190</v>
      </c>
      <c r="F281" s="21" t="s">
        <v>1992</v>
      </c>
    </row>
    <row r="282" ht="15.75" customHeight="1">
      <c r="A282" s="21">
        <v>12.0</v>
      </c>
      <c r="B282" s="21" t="s">
        <v>437</v>
      </c>
      <c r="C282" s="21" t="s">
        <v>73</v>
      </c>
      <c r="D282" s="21" t="s">
        <v>1997</v>
      </c>
      <c r="E282" s="21" t="s">
        <v>1994</v>
      </c>
      <c r="F282" s="21" t="s">
        <v>1995</v>
      </c>
    </row>
    <row r="283" ht="15.75" customHeight="1">
      <c r="A283" s="21">
        <v>13.0</v>
      </c>
      <c r="B283" s="21" t="s">
        <v>454</v>
      </c>
      <c r="C283" s="21" t="s">
        <v>74</v>
      </c>
      <c r="D283" s="21" t="s">
        <v>553</v>
      </c>
      <c r="E283" s="21" t="s">
        <v>190</v>
      </c>
      <c r="F283" s="21" t="s">
        <v>1992</v>
      </c>
    </row>
    <row r="284" ht="15.75" customHeight="1">
      <c r="A284" s="21">
        <v>13.0</v>
      </c>
      <c r="B284" s="21" t="s">
        <v>454</v>
      </c>
      <c r="C284" s="21" t="s">
        <v>73</v>
      </c>
      <c r="D284" s="21" t="s">
        <v>1997</v>
      </c>
      <c r="E284" s="21" t="s">
        <v>1994</v>
      </c>
      <c r="F284" s="21" t="s">
        <v>1995</v>
      </c>
    </row>
    <row r="285" ht="15.75" customHeight="1">
      <c r="A285" s="21">
        <v>14.0</v>
      </c>
      <c r="B285" s="21" t="s">
        <v>472</v>
      </c>
      <c r="C285" s="21" t="s">
        <v>74</v>
      </c>
      <c r="D285" s="21" t="s">
        <v>553</v>
      </c>
      <c r="E285" s="21" t="s">
        <v>190</v>
      </c>
      <c r="F285" s="21" t="s">
        <v>1992</v>
      </c>
    </row>
    <row r="286" ht="15.75" customHeight="1">
      <c r="A286" s="21">
        <v>14.0</v>
      </c>
      <c r="B286" s="21" t="s">
        <v>472</v>
      </c>
      <c r="C286" s="21" t="s">
        <v>73</v>
      </c>
      <c r="D286" s="21" t="s">
        <v>1997</v>
      </c>
      <c r="E286" s="21" t="s">
        <v>1994</v>
      </c>
      <c r="F286" s="21" t="s">
        <v>1995</v>
      </c>
    </row>
    <row r="287" ht="15.75" customHeight="1">
      <c r="A287" s="21">
        <v>16.0</v>
      </c>
      <c r="B287" s="21" t="s">
        <v>501</v>
      </c>
      <c r="C287" s="21" t="s">
        <v>74</v>
      </c>
      <c r="D287" s="21" t="s">
        <v>553</v>
      </c>
      <c r="E287" s="21" t="s">
        <v>190</v>
      </c>
      <c r="F287" s="21" t="s">
        <v>1992</v>
      </c>
    </row>
    <row r="288" ht="15.75" customHeight="1">
      <c r="A288" s="21">
        <v>16.0</v>
      </c>
      <c r="B288" s="21" t="s">
        <v>501</v>
      </c>
      <c r="C288" s="21" t="s">
        <v>73</v>
      </c>
      <c r="D288" s="21" t="s">
        <v>1997</v>
      </c>
      <c r="E288" s="21" t="s">
        <v>1994</v>
      </c>
      <c r="F288" s="21" t="s">
        <v>1995</v>
      </c>
    </row>
    <row r="289" ht="15.75" customHeight="1">
      <c r="A289" s="21">
        <v>19.0</v>
      </c>
      <c r="B289" s="21" t="s">
        <v>556</v>
      </c>
      <c r="C289" s="21" t="s">
        <v>74</v>
      </c>
      <c r="D289" s="21" t="s">
        <v>553</v>
      </c>
      <c r="E289" s="21" t="s">
        <v>190</v>
      </c>
      <c r="F289" s="21" t="s">
        <v>1992</v>
      </c>
    </row>
    <row r="290" ht="15.75" customHeight="1">
      <c r="A290" s="21">
        <v>19.0</v>
      </c>
      <c r="B290" s="21" t="s">
        <v>556</v>
      </c>
      <c r="C290" s="21" t="s">
        <v>73</v>
      </c>
      <c r="D290" s="21" t="s">
        <v>1997</v>
      </c>
      <c r="E290" s="21" t="s">
        <v>1994</v>
      </c>
      <c r="F290" s="21" t="s">
        <v>1995</v>
      </c>
    </row>
    <row r="291" ht="15.75" customHeight="1">
      <c r="A291" s="21">
        <v>20.0</v>
      </c>
      <c r="B291" s="21" t="s">
        <v>571</v>
      </c>
      <c r="C291" s="21" t="s">
        <v>74</v>
      </c>
      <c r="D291" s="21" t="s">
        <v>553</v>
      </c>
      <c r="E291" s="21" t="s">
        <v>190</v>
      </c>
      <c r="F291" s="21" t="s">
        <v>1992</v>
      </c>
    </row>
    <row r="292" ht="15.75" customHeight="1">
      <c r="A292" s="21">
        <v>20.0</v>
      </c>
      <c r="B292" s="21" t="s">
        <v>571</v>
      </c>
      <c r="C292" s="21" t="s">
        <v>73</v>
      </c>
      <c r="D292" s="21" t="s">
        <v>1996</v>
      </c>
      <c r="E292" s="21" t="s">
        <v>1994</v>
      </c>
      <c r="F292" s="21" t="s">
        <v>1995</v>
      </c>
    </row>
    <row r="293" ht="15.75" customHeight="1">
      <c r="A293" s="21">
        <v>21.0</v>
      </c>
      <c r="B293" s="21" t="s">
        <v>591</v>
      </c>
      <c r="C293" s="21" t="s">
        <v>74</v>
      </c>
      <c r="D293" s="21" t="s">
        <v>553</v>
      </c>
      <c r="E293" s="21" t="s">
        <v>190</v>
      </c>
      <c r="F293" s="21" t="s">
        <v>1992</v>
      </c>
    </row>
    <row r="294" ht="15.75" customHeight="1">
      <c r="A294" s="21">
        <v>21.0</v>
      </c>
      <c r="B294" s="21" t="s">
        <v>591</v>
      </c>
      <c r="C294" s="21" t="s">
        <v>73</v>
      </c>
      <c r="D294" s="21" t="s">
        <v>1996</v>
      </c>
      <c r="E294" s="21" t="s">
        <v>1994</v>
      </c>
      <c r="F294" s="21" t="s">
        <v>1995</v>
      </c>
    </row>
    <row r="295" ht="15.75" customHeight="1">
      <c r="A295" s="21">
        <v>26.0</v>
      </c>
      <c r="B295" s="21" t="s">
        <v>674</v>
      </c>
      <c r="C295" s="21" t="s">
        <v>74</v>
      </c>
      <c r="D295" s="21" t="s">
        <v>553</v>
      </c>
      <c r="E295" s="21" t="s">
        <v>190</v>
      </c>
      <c r="F295" s="21" t="s">
        <v>1992</v>
      </c>
    </row>
    <row r="296" ht="15.75" customHeight="1">
      <c r="A296" s="21">
        <v>26.0</v>
      </c>
      <c r="B296" s="21" t="s">
        <v>674</v>
      </c>
      <c r="C296" s="21" t="s">
        <v>73</v>
      </c>
      <c r="D296" s="21" t="s">
        <v>1997</v>
      </c>
      <c r="E296" s="21" t="s">
        <v>1994</v>
      </c>
      <c r="F296" s="21" t="s">
        <v>1995</v>
      </c>
    </row>
    <row r="297" ht="15.75" customHeight="1">
      <c r="A297" s="21">
        <v>28.0</v>
      </c>
      <c r="B297" s="21" t="s">
        <v>717</v>
      </c>
      <c r="C297" s="21" t="s">
        <v>74</v>
      </c>
      <c r="D297" s="21" t="s">
        <v>553</v>
      </c>
      <c r="E297" s="21" t="s">
        <v>190</v>
      </c>
      <c r="F297" s="21" t="s">
        <v>1992</v>
      </c>
    </row>
    <row r="298" ht="15.75" customHeight="1">
      <c r="A298" s="21">
        <v>28.0</v>
      </c>
      <c r="B298" s="21" t="s">
        <v>717</v>
      </c>
      <c r="C298" s="21" t="s">
        <v>73</v>
      </c>
      <c r="D298" s="21" t="s">
        <v>1996</v>
      </c>
      <c r="E298" s="21" t="s">
        <v>1994</v>
      </c>
      <c r="F298" s="21" t="s">
        <v>1995</v>
      </c>
    </row>
    <row r="299" ht="15.75" customHeight="1">
      <c r="A299" s="21">
        <v>29.0</v>
      </c>
      <c r="B299" s="21" t="s">
        <v>730</v>
      </c>
      <c r="C299" s="21" t="s">
        <v>74</v>
      </c>
      <c r="D299" s="21" t="s">
        <v>553</v>
      </c>
      <c r="E299" s="21" t="s">
        <v>190</v>
      </c>
      <c r="F299" s="21" t="s">
        <v>1992</v>
      </c>
    </row>
    <row r="300" ht="15.75" customHeight="1">
      <c r="A300" s="21">
        <v>29.0</v>
      </c>
      <c r="B300" s="21" t="s">
        <v>730</v>
      </c>
      <c r="C300" s="21" t="s">
        <v>73</v>
      </c>
      <c r="D300" s="21" t="s">
        <v>1998</v>
      </c>
      <c r="E300" s="21" t="s">
        <v>1994</v>
      </c>
      <c r="F300" s="21" t="s">
        <v>1995</v>
      </c>
    </row>
    <row r="301" ht="15.75" customHeight="1">
      <c r="A301" s="21">
        <v>30.0</v>
      </c>
      <c r="B301" s="21" t="s">
        <v>744</v>
      </c>
      <c r="C301" s="21" t="s">
        <v>74</v>
      </c>
      <c r="D301" s="21" t="s">
        <v>553</v>
      </c>
      <c r="E301" s="21" t="s">
        <v>190</v>
      </c>
      <c r="F301" s="21" t="s">
        <v>1992</v>
      </c>
    </row>
    <row r="302" ht="15.75" customHeight="1">
      <c r="A302" s="21">
        <v>30.0</v>
      </c>
      <c r="B302" s="21" t="s">
        <v>744</v>
      </c>
      <c r="C302" s="21" t="s">
        <v>73</v>
      </c>
      <c r="D302" s="21" t="s">
        <v>1993</v>
      </c>
      <c r="E302" s="21" t="s">
        <v>1994</v>
      </c>
      <c r="F302" s="21" t="s">
        <v>1995</v>
      </c>
    </row>
    <row r="303" ht="15.75" customHeight="1">
      <c r="A303" s="21">
        <v>31.0</v>
      </c>
      <c r="B303" s="21" t="s">
        <v>761</v>
      </c>
      <c r="C303" s="21" t="s">
        <v>74</v>
      </c>
      <c r="D303" s="21" t="s">
        <v>553</v>
      </c>
      <c r="E303" s="21" t="s">
        <v>190</v>
      </c>
      <c r="F303" s="21" t="s">
        <v>1992</v>
      </c>
    </row>
    <row r="304" ht="15.75" customHeight="1">
      <c r="A304" s="21">
        <v>31.0</v>
      </c>
      <c r="B304" s="21" t="s">
        <v>761</v>
      </c>
      <c r="C304" s="21" t="s">
        <v>73</v>
      </c>
      <c r="D304" s="21" t="s">
        <v>1996</v>
      </c>
      <c r="E304" s="21" t="s">
        <v>1994</v>
      </c>
      <c r="F304" s="21" t="s">
        <v>1995</v>
      </c>
    </row>
    <row r="305" ht="15.75" customHeight="1">
      <c r="A305" s="21">
        <v>73.0</v>
      </c>
      <c r="B305" s="21" t="s">
        <v>801</v>
      </c>
      <c r="C305" s="21" t="s">
        <v>74</v>
      </c>
      <c r="D305" s="21" t="s">
        <v>553</v>
      </c>
      <c r="E305" s="21" t="s">
        <v>190</v>
      </c>
      <c r="F305" s="21" t="s">
        <v>1992</v>
      </c>
    </row>
    <row r="306" ht="15.75" customHeight="1">
      <c r="A306" s="21">
        <v>73.0</v>
      </c>
      <c r="B306" s="21" t="s">
        <v>801</v>
      </c>
      <c r="C306" s="21" t="s">
        <v>73</v>
      </c>
      <c r="D306" s="21" t="s">
        <v>1993</v>
      </c>
      <c r="E306" s="21" t="s">
        <v>1994</v>
      </c>
      <c r="F306" s="21" t="s">
        <v>1995</v>
      </c>
    </row>
    <row r="307" ht="15.75" customHeight="1">
      <c r="A307" s="21">
        <v>76.0</v>
      </c>
      <c r="B307" s="21" t="s">
        <v>485</v>
      </c>
      <c r="C307" s="21" t="s">
        <v>74</v>
      </c>
      <c r="D307" s="21" t="s">
        <v>553</v>
      </c>
      <c r="E307" s="21" t="s">
        <v>190</v>
      </c>
      <c r="F307" s="21" t="s">
        <v>1992</v>
      </c>
    </row>
    <row r="308" ht="15.75" customHeight="1">
      <c r="A308" s="21">
        <v>76.0</v>
      </c>
      <c r="B308" s="21" t="s">
        <v>485</v>
      </c>
      <c r="C308" s="21" t="s">
        <v>73</v>
      </c>
      <c r="D308" s="21" t="s">
        <v>1999</v>
      </c>
      <c r="E308" s="21" t="s">
        <v>1994</v>
      </c>
      <c r="F308" s="21" t="s">
        <v>1995</v>
      </c>
    </row>
    <row r="309" ht="15.75" customHeight="1">
      <c r="A309" s="21">
        <v>32.0</v>
      </c>
      <c r="B309" s="21" t="s">
        <v>772</v>
      </c>
      <c r="C309" s="21" t="s">
        <v>33</v>
      </c>
      <c r="D309" s="21" t="s">
        <v>2000</v>
      </c>
      <c r="E309" s="21" t="s">
        <v>105</v>
      </c>
      <c r="F309" s="21" t="s">
        <v>2001</v>
      </c>
    </row>
    <row r="310" ht="15.75" customHeight="1">
      <c r="A310" s="21">
        <v>32.0</v>
      </c>
      <c r="B310" s="21" t="s">
        <v>772</v>
      </c>
      <c r="C310" s="21" t="s">
        <v>35</v>
      </c>
      <c r="D310" s="21" t="s">
        <v>2002</v>
      </c>
      <c r="E310" s="21" t="s">
        <v>105</v>
      </c>
      <c r="F310" s="21" t="s">
        <v>2001</v>
      </c>
    </row>
    <row r="311" ht="15.75" customHeight="1">
      <c r="A311" s="21">
        <v>32.0</v>
      </c>
      <c r="B311" s="21" t="s">
        <v>772</v>
      </c>
      <c r="C311" s="21" t="s">
        <v>36</v>
      </c>
      <c r="D311" s="21" t="s">
        <v>2003</v>
      </c>
      <c r="E311" s="21" t="s">
        <v>105</v>
      </c>
      <c r="F311" s="21" t="s">
        <v>2001</v>
      </c>
    </row>
    <row r="312" ht="15.75" customHeight="1">
      <c r="A312" s="21">
        <v>32.0</v>
      </c>
      <c r="B312" s="21" t="s">
        <v>772</v>
      </c>
      <c r="C312" s="21" t="s">
        <v>38</v>
      </c>
      <c r="D312" s="21" t="s">
        <v>2004</v>
      </c>
      <c r="E312" s="21" t="s">
        <v>105</v>
      </c>
      <c r="F312" s="21" t="s">
        <v>2001</v>
      </c>
    </row>
    <row r="313" ht="15.75" customHeight="1">
      <c r="A313" s="21">
        <v>32.0</v>
      </c>
      <c r="B313" s="21" t="s">
        <v>772</v>
      </c>
      <c r="C313" s="21" t="s">
        <v>39</v>
      </c>
      <c r="D313" s="21" t="s">
        <v>2005</v>
      </c>
      <c r="E313" s="21" t="s">
        <v>105</v>
      </c>
      <c r="F313" s="21" t="s">
        <v>2001</v>
      </c>
    </row>
    <row r="314" ht="15.75" customHeight="1">
      <c r="A314" s="21">
        <v>32.0</v>
      </c>
      <c r="B314" s="21" t="s">
        <v>772</v>
      </c>
      <c r="C314" s="21" t="s">
        <v>53</v>
      </c>
      <c r="D314" s="21" t="s">
        <v>218</v>
      </c>
      <c r="E314" s="21" t="s">
        <v>576</v>
      </c>
      <c r="F314" s="21" t="s">
        <v>2006</v>
      </c>
    </row>
    <row r="315" ht="15.75" customHeight="1">
      <c r="A315" s="21">
        <v>34.0</v>
      </c>
      <c r="B315" s="21" t="s">
        <v>810</v>
      </c>
      <c r="C315" s="21" t="s">
        <v>45</v>
      </c>
      <c r="D315" s="21" t="s">
        <v>2007</v>
      </c>
      <c r="E315" s="21" t="s">
        <v>2008</v>
      </c>
      <c r="F315" s="21" t="s">
        <v>2009</v>
      </c>
    </row>
    <row r="316" ht="15.75" customHeight="1">
      <c r="A316" s="21">
        <v>34.0</v>
      </c>
      <c r="B316" s="21" t="s">
        <v>810</v>
      </c>
      <c r="C316" s="21" t="s">
        <v>33</v>
      </c>
      <c r="D316" s="21" t="s">
        <v>2010</v>
      </c>
      <c r="E316" s="21" t="s">
        <v>2011</v>
      </c>
      <c r="F316" s="21" t="s">
        <v>2012</v>
      </c>
    </row>
    <row r="317" ht="15.75" customHeight="1">
      <c r="A317" s="21">
        <v>34.0</v>
      </c>
      <c r="B317" s="21" t="s">
        <v>810</v>
      </c>
      <c r="C317" s="21" t="s">
        <v>39</v>
      </c>
      <c r="D317" s="21" t="s">
        <v>2013</v>
      </c>
      <c r="E317" s="21" t="s">
        <v>105</v>
      </c>
      <c r="F317" s="21" t="s">
        <v>2014</v>
      </c>
    </row>
    <row r="318" ht="15.75" customHeight="1">
      <c r="A318" s="21">
        <v>34.0</v>
      </c>
      <c r="B318" s="21" t="s">
        <v>810</v>
      </c>
      <c r="C318" s="21" t="s">
        <v>76</v>
      </c>
      <c r="D318" s="21" t="s">
        <v>2015</v>
      </c>
      <c r="E318" s="21" t="s">
        <v>2015</v>
      </c>
      <c r="F318" s="21" t="s">
        <v>2016</v>
      </c>
    </row>
    <row r="319" ht="15.75" customHeight="1">
      <c r="A319" s="21">
        <v>35.0</v>
      </c>
      <c r="B319" s="21" t="s">
        <v>832</v>
      </c>
      <c r="C319" s="21" t="s">
        <v>33</v>
      </c>
      <c r="D319" s="21" t="s">
        <v>2017</v>
      </c>
      <c r="E319" s="21" t="s">
        <v>105</v>
      </c>
      <c r="F319" s="21" t="s">
        <v>2018</v>
      </c>
    </row>
    <row r="320" ht="15.75" customHeight="1">
      <c r="A320" s="21">
        <v>35.0</v>
      </c>
      <c r="B320" s="21" t="s">
        <v>832</v>
      </c>
      <c r="C320" s="21" t="s">
        <v>39</v>
      </c>
      <c r="D320" s="21" t="s">
        <v>2019</v>
      </c>
      <c r="E320" s="21" t="s">
        <v>105</v>
      </c>
      <c r="F320" s="21" t="s">
        <v>2020</v>
      </c>
    </row>
    <row r="321" ht="15.75" customHeight="1">
      <c r="A321" s="21">
        <v>35.0</v>
      </c>
      <c r="B321" s="21" t="s">
        <v>832</v>
      </c>
      <c r="C321" s="21" t="s">
        <v>76</v>
      </c>
      <c r="D321" s="21" t="s">
        <v>2021</v>
      </c>
      <c r="E321" s="21" t="s">
        <v>2021</v>
      </c>
      <c r="F321" s="21" t="s">
        <v>2022</v>
      </c>
    </row>
    <row r="322" ht="15.75" customHeight="1">
      <c r="A322" s="21">
        <v>37.0</v>
      </c>
      <c r="B322" s="21" t="s">
        <v>877</v>
      </c>
      <c r="C322" s="21" t="s">
        <v>33</v>
      </c>
      <c r="D322" s="21" t="s">
        <v>2023</v>
      </c>
      <c r="E322" s="21" t="s">
        <v>105</v>
      </c>
      <c r="F322" s="21" t="s">
        <v>2024</v>
      </c>
    </row>
    <row r="323" ht="15.75" customHeight="1">
      <c r="A323" s="21">
        <v>37.0</v>
      </c>
      <c r="B323" s="21" t="s">
        <v>877</v>
      </c>
      <c r="C323" s="21" t="s">
        <v>76</v>
      </c>
      <c r="D323" s="21" t="s">
        <v>2025</v>
      </c>
      <c r="E323" s="21" t="s">
        <v>2025</v>
      </c>
      <c r="F323" s="21" t="s">
        <v>2026</v>
      </c>
    </row>
    <row r="324" ht="15.75" customHeight="1">
      <c r="A324" s="21">
        <v>39.0</v>
      </c>
      <c r="B324" s="21" t="s">
        <v>908</v>
      </c>
      <c r="C324" s="21" t="s">
        <v>39</v>
      </c>
      <c r="D324" s="21" t="s">
        <v>1899</v>
      </c>
      <c r="E324" s="21" t="s">
        <v>2027</v>
      </c>
      <c r="F324" s="21" t="s">
        <v>2028</v>
      </c>
    </row>
    <row r="325" ht="15.75" customHeight="1">
      <c r="A325" s="21">
        <v>39.0</v>
      </c>
      <c r="B325" s="21" t="s">
        <v>908</v>
      </c>
      <c r="C325" s="21" t="s">
        <v>33</v>
      </c>
      <c r="D325" s="21" t="s">
        <v>2029</v>
      </c>
      <c r="E325" s="21" t="s">
        <v>105</v>
      </c>
      <c r="F325" s="21" t="s">
        <v>2030</v>
      </c>
    </row>
    <row r="326" ht="15.75" customHeight="1">
      <c r="A326" s="21">
        <v>39.0</v>
      </c>
      <c r="B326" s="21" t="s">
        <v>908</v>
      </c>
      <c r="C326" s="21" t="s">
        <v>70</v>
      </c>
      <c r="D326" s="21" t="s">
        <v>2031</v>
      </c>
      <c r="E326" s="21" t="s">
        <v>922</v>
      </c>
      <c r="F326" s="21" t="s">
        <v>2032</v>
      </c>
    </row>
    <row r="327" ht="15.75" customHeight="1">
      <c r="A327" s="21">
        <v>39.0</v>
      </c>
      <c r="B327" s="21" t="s">
        <v>908</v>
      </c>
      <c r="C327" s="21" t="s">
        <v>53</v>
      </c>
      <c r="D327" s="21" t="s">
        <v>106</v>
      </c>
      <c r="E327" s="21" t="s">
        <v>218</v>
      </c>
      <c r="F327" s="21" t="s">
        <v>2033</v>
      </c>
    </row>
    <row r="328" ht="15.75" customHeight="1">
      <c r="A328" s="21">
        <v>39.0</v>
      </c>
      <c r="B328" s="21" t="s">
        <v>908</v>
      </c>
      <c r="C328" s="21" t="s">
        <v>76</v>
      </c>
      <c r="D328" s="21" t="s">
        <v>1902</v>
      </c>
      <c r="E328" s="21" t="s">
        <v>2034</v>
      </c>
      <c r="F328" s="21" t="s">
        <v>2035</v>
      </c>
    </row>
    <row r="329" ht="15.75" customHeight="1">
      <c r="A329" s="21">
        <v>40.0</v>
      </c>
      <c r="B329" s="21" t="s">
        <v>912</v>
      </c>
      <c r="C329" s="21" t="s">
        <v>42</v>
      </c>
      <c r="D329" s="21" t="s">
        <v>2036</v>
      </c>
      <c r="E329" s="21" t="s">
        <v>105</v>
      </c>
      <c r="F329" s="21" t="s">
        <v>2037</v>
      </c>
    </row>
    <row r="330" ht="15.75" customHeight="1">
      <c r="A330" s="21">
        <v>40.0</v>
      </c>
      <c r="B330" s="21" t="s">
        <v>912</v>
      </c>
      <c r="C330" s="21" t="s">
        <v>43</v>
      </c>
      <c r="D330" s="21" t="s">
        <v>2038</v>
      </c>
      <c r="E330" s="21" t="s">
        <v>105</v>
      </c>
      <c r="F330" s="21" t="s">
        <v>2039</v>
      </c>
    </row>
    <row r="331" ht="15.75" customHeight="1">
      <c r="A331" s="21">
        <v>40.0</v>
      </c>
      <c r="B331" s="21" t="s">
        <v>912</v>
      </c>
      <c r="C331" s="21" t="s">
        <v>39</v>
      </c>
      <c r="D331" s="21" t="s">
        <v>2040</v>
      </c>
      <c r="E331" s="21" t="s">
        <v>105</v>
      </c>
      <c r="F331" s="21" t="s">
        <v>2041</v>
      </c>
    </row>
    <row r="332" ht="15.75" customHeight="1">
      <c r="A332" s="21">
        <v>40.0</v>
      </c>
      <c r="B332" s="21" t="s">
        <v>912</v>
      </c>
      <c r="C332" s="21" t="s">
        <v>33</v>
      </c>
      <c r="D332" s="21" t="s">
        <v>2042</v>
      </c>
      <c r="E332" s="21" t="s">
        <v>105</v>
      </c>
      <c r="F332" s="21" t="s">
        <v>2043</v>
      </c>
    </row>
    <row r="333" ht="15.75" customHeight="1">
      <c r="A333" s="21">
        <v>41.0</v>
      </c>
      <c r="B333" s="21" t="s">
        <v>916</v>
      </c>
      <c r="C333" s="21" t="s">
        <v>33</v>
      </c>
      <c r="D333" s="21" t="s">
        <v>2044</v>
      </c>
      <c r="E333" s="21" t="s">
        <v>105</v>
      </c>
      <c r="F333" s="21" t="s">
        <v>2045</v>
      </c>
    </row>
    <row r="334" ht="15.75" customHeight="1">
      <c r="A334" s="21">
        <v>41.0</v>
      </c>
      <c r="B334" s="21" t="s">
        <v>916</v>
      </c>
      <c r="C334" s="21" t="s">
        <v>39</v>
      </c>
      <c r="D334" s="21" t="s">
        <v>2046</v>
      </c>
      <c r="E334" s="21" t="s">
        <v>105</v>
      </c>
      <c r="F334" s="21" t="s">
        <v>2045</v>
      </c>
    </row>
    <row r="335" ht="15.75" customHeight="1">
      <c r="A335" s="21">
        <v>41.0</v>
      </c>
      <c r="B335" s="21" t="s">
        <v>916</v>
      </c>
      <c r="C335" s="21" t="s">
        <v>42</v>
      </c>
      <c r="D335" s="21" t="s">
        <v>2047</v>
      </c>
      <c r="E335" s="21" t="s">
        <v>105</v>
      </c>
      <c r="F335" s="21" t="s">
        <v>2045</v>
      </c>
    </row>
    <row r="336" ht="15.75" customHeight="1">
      <c r="A336" s="21">
        <v>41.0</v>
      </c>
      <c r="B336" s="21" t="s">
        <v>916</v>
      </c>
      <c r="C336" s="21" t="s">
        <v>43</v>
      </c>
      <c r="D336" s="21" t="s">
        <v>2048</v>
      </c>
      <c r="E336" s="21" t="s">
        <v>105</v>
      </c>
      <c r="F336" s="21" t="s">
        <v>2045</v>
      </c>
    </row>
    <row r="337" ht="15.75" customHeight="1">
      <c r="A337" s="21">
        <v>41.0</v>
      </c>
      <c r="B337" s="21" t="s">
        <v>916</v>
      </c>
      <c r="C337" s="21" t="s">
        <v>45</v>
      </c>
      <c r="D337" s="21" t="s">
        <v>2049</v>
      </c>
      <c r="E337" s="21" t="s">
        <v>105</v>
      </c>
      <c r="F337" s="21" t="s">
        <v>2045</v>
      </c>
    </row>
    <row r="338" ht="15.75" customHeight="1">
      <c r="A338" s="21">
        <v>41.0</v>
      </c>
      <c r="B338" s="21" t="s">
        <v>916</v>
      </c>
      <c r="C338" s="21" t="s">
        <v>47</v>
      </c>
      <c r="D338" s="21" t="s">
        <v>2050</v>
      </c>
      <c r="E338" s="21" t="s">
        <v>105</v>
      </c>
      <c r="F338" s="21" t="s">
        <v>2045</v>
      </c>
    </row>
    <row r="339" ht="15.75" customHeight="1">
      <c r="A339" s="21">
        <v>41.0</v>
      </c>
      <c r="B339" s="21" t="s">
        <v>916</v>
      </c>
      <c r="C339" s="21" t="s">
        <v>53</v>
      </c>
      <c r="D339" s="21" t="s">
        <v>218</v>
      </c>
      <c r="E339" s="21" t="s">
        <v>576</v>
      </c>
      <c r="F339" s="21" t="s">
        <v>2051</v>
      </c>
    </row>
    <row r="340" ht="15.75" customHeight="1">
      <c r="A340" s="21">
        <v>41.0</v>
      </c>
      <c r="B340" s="21" t="s">
        <v>916</v>
      </c>
      <c r="C340" s="21" t="s">
        <v>76</v>
      </c>
      <c r="D340" s="21" t="s">
        <v>2052</v>
      </c>
      <c r="E340" s="21" t="s">
        <v>2052</v>
      </c>
      <c r="F340" s="21" t="s">
        <v>2053</v>
      </c>
    </row>
    <row r="341" ht="15.75" customHeight="1">
      <c r="A341" s="21">
        <v>42.0</v>
      </c>
      <c r="B341" s="21" t="s">
        <v>923</v>
      </c>
      <c r="C341" s="21" t="s">
        <v>70</v>
      </c>
      <c r="D341" s="21" t="s">
        <v>2054</v>
      </c>
      <c r="E341" s="21" t="s">
        <v>978</v>
      </c>
      <c r="F341" s="21" t="s">
        <v>2055</v>
      </c>
    </row>
    <row r="342" ht="15.75" customHeight="1">
      <c r="A342" s="21">
        <v>42.0</v>
      </c>
      <c r="B342" s="21" t="s">
        <v>923</v>
      </c>
      <c r="C342" s="21" t="s">
        <v>76</v>
      </c>
      <c r="D342" s="21" t="s">
        <v>2056</v>
      </c>
      <c r="E342" s="21" t="s">
        <v>2056</v>
      </c>
      <c r="F342" s="21" t="s">
        <v>2057</v>
      </c>
    </row>
    <row r="343" ht="15.75" customHeight="1">
      <c r="A343" s="21">
        <v>45.0</v>
      </c>
      <c r="B343" s="21" t="s">
        <v>938</v>
      </c>
      <c r="C343" s="21" t="s">
        <v>45</v>
      </c>
      <c r="D343" s="21" t="s">
        <v>2058</v>
      </c>
      <c r="E343" s="21" t="s">
        <v>105</v>
      </c>
      <c r="F343" s="21" t="s">
        <v>2059</v>
      </c>
    </row>
    <row r="344" ht="15.75" customHeight="1">
      <c r="A344" s="21">
        <v>45.0</v>
      </c>
      <c r="B344" s="21" t="s">
        <v>938</v>
      </c>
      <c r="C344" s="21" t="s">
        <v>33</v>
      </c>
      <c r="D344" s="21" t="s">
        <v>2060</v>
      </c>
      <c r="E344" s="21" t="s">
        <v>105</v>
      </c>
      <c r="F344" s="21" t="s">
        <v>2061</v>
      </c>
    </row>
    <row r="345" ht="15.75" customHeight="1">
      <c r="A345" s="21">
        <v>45.0</v>
      </c>
      <c r="B345" s="21" t="s">
        <v>938</v>
      </c>
      <c r="C345" s="21" t="s">
        <v>76</v>
      </c>
      <c r="D345" s="21" t="s">
        <v>2062</v>
      </c>
      <c r="E345" s="21" t="s">
        <v>2062</v>
      </c>
      <c r="F345" s="21" t="s">
        <v>2063</v>
      </c>
    </row>
    <row r="346" ht="15.75" customHeight="1">
      <c r="A346" s="21">
        <v>46.0</v>
      </c>
      <c r="B346" s="21" t="s">
        <v>943</v>
      </c>
      <c r="C346" s="21" t="s">
        <v>39</v>
      </c>
      <c r="D346" s="21" t="s">
        <v>2064</v>
      </c>
      <c r="E346" s="21" t="s">
        <v>105</v>
      </c>
      <c r="F346" s="21" t="s">
        <v>2065</v>
      </c>
    </row>
    <row r="347" ht="15.75" customHeight="1">
      <c r="A347" s="21">
        <v>46.0</v>
      </c>
      <c r="B347" s="21" t="s">
        <v>943</v>
      </c>
      <c r="C347" s="21" t="s">
        <v>33</v>
      </c>
      <c r="D347" s="21" t="s">
        <v>2066</v>
      </c>
      <c r="E347" s="21" t="s">
        <v>105</v>
      </c>
      <c r="F347" s="21" t="s">
        <v>2067</v>
      </c>
    </row>
    <row r="348" ht="15.75" customHeight="1">
      <c r="A348" s="21">
        <v>46.0</v>
      </c>
      <c r="B348" s="21" t="s">
        <v>943</v>
      </c>
      <c r="C348" s="21" t="s">
        <v>76</v>
      </c>
      <c r="D348" s="21" t="s">
        <v>2068</v>
      </c>
      <c r="E348" s="21" t="s">
        <v>2068</v>
      </c>
      <c r="F348" s="21" t="s">
        <v>2016</v>
      </c>
    </row>
    <row r="349" ht="15.75" customHeight="1">
      <c r="A349" s="21">
        <v>32.0</v>
      </c>
      <c r="B349" s="21" t="s">
        <v>772</v>
      </c>
      <c r="C349" s="21" t="s">
        <v>74</v>
      </c>
      <c r="D349" s="21" t="s">
        <v>553</v>
      </c>
      <c r="E349" s="21" t="s">
        <v>190</v>
      </c>
      <c r="F349" s="21" t="s">
        <v>2069</v>
      </c>
    </row>
    <row r="350" ht="15.75" customHeight="1">
      <c r="A350" s="21">
        <v>34.0</v>
      </c>
      <c r="B350" s="21" t="s">
        <v>810</v>
      </c>
      <c r="C350" s="21" t="s">
        <v>74</v>
      </c>
      <c r="D350" s="21" t="s">
        <v>553</v>
      </c>
      <c r="E350" s="21" t="s">
        <v>190</v>
      </c>
      <c r="F350" s="21" t="s">
        <v>2069</v>
      </c>
    </row>
    <row r="351" ht="15.75" customHeight="1">
      <c r="A351" s="21">
        <v>35.0</v>
      </c>
      <c r="B351" s="21" t="s">
        <v>832</v>
      </c>
      <c r="C351" s="21" t="s">
        <v>74</v>
      </c>
      <c r="D351" s="21" t="s">
        <v>553</v>
      </c>
      <c r="E351" s="21" t="s">
        <v>190</v>
      </c>
      <c r="F351" s="21" t="s">
        <v>2069</v>
      </c>
    </row>
    <row r="352" ht="15.75" customHeight="1">
      <c r="A352" s="21">
        <v>37.0</v>
      </c>
      <c r="B352" s="21" t="s">
        <v>877</v>
      </c>
      <c r="C352" s="21" t="s">
        <v>74</v>
      </c>
      <c r="D352" s="21" t="s">
        <v>553</v>
      </c>
      <c r="E352" s="21" t="s">
        <v>190</v>
      </c>
      <c r="F352" s="21" t="s">
        <v>2069</v>
      </c>
    </row>
    <row r="353" ht="15.75" customHeight="1">
      <c r="A353" s="21">
        <v>39.0</v>
      </c>
      <c r="B353" s="21" t="s">
        <v>908</v>
      </c>
      <c r="C353" s="21" t="s">
        <v>74</v>
      </c>
      <c r="D353" s="21" t="s">
        <v>553</v>
      </c>
      <c r="E353" s="21" t="s">
        <v>190</v>
      </c>
      <c r="F353" s="21" t="s">
        <v>2069</v>
      </c>
    </row>
    <row r="354" ht="15.75" customHeight="1">
      <c r="A354" s="21">
        <v>40.0</v>
      </c>
      <c r="B354" s="21" t="s">
        <v>912</v>
      </c>
      <c r="C354" s="21" t="s">
        <v>74</v>
      </c>
      <c r="D354" s="21" t="s">
        <v>553</v>
      </c>
      <c r="E354" s="21" t="s">
        <v>190</v>
      </c>
      <c r="F354" s="21" t="s">
        <v>2069</v>
      </c>
    </row>
    <row r="355" ht="15.75" customHeight="1">
      <c r="A355" s="21">
        <v>41.0</v>
      </c>
      <c r="B355" s="21" t="s">
        <v>916</v>
      </c>
      <c r="C355" s="21" t="s">
        <v>74</v>
      </c>
      <c r="D355" s="21" t="s">
        <v>553</v>
      </c>
      <c r="E355" s="21" t="s">
        <v>190</v>
      </c>
      <c r="F355" s="21" t="s">
        <v>2069</v>
      </c>
    </row>
    <row r="356" ht="15.75" customHeight="1">
      <c r="A356" s="21">
        <v>42.0</v>
      </c>
      <c r="B356" s="21" t="s">
        <v>923</v>
      </c>
      <c r="C356" s="21" t="s">
        <v>74</v>
      </c>
      <c r="D356" s="21" t="s">
        <v>553</v>
      </c>
      <c r="E356" s="21" t="s">
        <v>190</v>
      </c>
      <c r="F356" s="21" t="s">
        <v>2069</v>
      </c>
    </row>
    <row r="357" ht="15.75" customHeight="1">
      <c r="A357" s="21">
        <v>45.0</v>
      </c>
      <c r="B357" s="21" t="s">
        <v>938</v>
      </c>
      <c r="C357" s="21" t="s">
        <v>74</v>
      </c>
      <c r="D357" s="21" t="s">
        <v>553</v>
      </c>
      <c r="E357" s="21" t="s">
        <v>190</v>
      </c>
      <c r="F357" s="21" t="s">
        <v>2069</v>
      </c>
    </row>
    <row r="358" ht="15.75" customHeight="1">
      <c r="A358" s="21">
        <v>46.0</v>
      </c>
      <c r="B358" s="21" t="s">
        <v>943</v>
      </c>
      <c r="C358" s="21" t="s">
        <v>74</v>
      </c>
      <c r="D358" s="21" t="s">
        <v>553</v>
      </c>
      <c r="E358" s="21" t="s">
        <v>190</v>
      </c>
      <c r="F358" s="21" t="s">
        <v>2069</v>
      </c>
    </row>
    <row r="359" ht="15.75" customHeight="1">
      <c r="A359" s="21">
        <v>17.0</v>
      </c>
      <c r="B359" s="21" t="s">
        <v>519</v>
      </c>
      <c r="C359" s="21" t="s">
        <v>35</v>
      </c>
      <c r="D359" s="21" t="s">
        <v>2070</v>
      </c>
      <c r="E359" s="21" t="s">
        <v>105</v>
      </c>
      <c r="F359" s="21" t="s">
        <v>2071</v>
      </c>
    </row>
    <row r="360" ht="15.75" customHeight="1">
      <c r="A360" s="21">
        <v>17.0</v>
      </c>
      <c r="B360" s="21" t="s">
        <v>519</v>
      </c>
      <c r="C360" s="21" t="s">
        <v>33</v>
      </c>
      <c r="D360" s="21" t="s">
        <v>2072</v>
      </c>
      <c r="E360" s="21" t="s">
        <v>105</v>
      </c>
      <c r="F360" s="21" t="s">
        <v>2073</v>
      </c>
    </row>
    <row r="361" ht="15.75" customHeight="1">
      <c r="A361" s="21">
        <v>17.0</v>
      </c>
      <c r="B361" s="21" t="s">
        <v>519</v>
      </c>
      <c r="C361" s="21" t="s">
        <v>76</v>
      </c>
      <c r="D361" s="21" t="s">
        <v>1957</v>
      </c>
      <c r="E361" s="21" t="s">
        <v>1957</v>
      </c>
      <c r="F361" s="21" t="s">
        <v>2074</v>
      </c>
    </row>
    <row r="362" ht="15.75" customHeight="1">
      <c r="A362" s="21">
        <v>22.0</v>
      </c>
      <c r="B362" s="21" t="s">
        <v>610</v>
      </c>
      <c r="C362" s="21" t="s">
        <v>33</v>
      </c>
      <c r="D362" s="21" t="s">
        <v>2075</v>
      </c>
      <c r="E362" s="21" t="s">
        <v>105</v>
      </c>
      <c r="F362" s="21" t="s">
        <v>2076</v>
      </c>
    </row>
    <row r="363" ht="15.75" customHeight="1">
      <c r="A363" s="21">
        <v>22.0</v>
      </c>
      <c r="B363" s="21" t="s">
        <v>610</v>
      </c>
      <c r="C363" s="21" t="s">
        <v>35</v>
      </c>
      <c r="D363" s="21" t="s">
        <v>2077</v>
      </c>
      <c r="E363" s="21" t="s">
        <v>105</v>
      </c>
      <c r="F363" s="21" t="s">
        <v>2076</v>
      </c>
    </row>
    <row r="364" ht="15.75" customHeight="1">
      <c r="A364" s="21">
        <v>22.0</v>
      </c>
      <c r="B364" s="21" t="s">
        <v>610</v>
      </c>
      <c r="C364" s="21" t="s">
        <v>36</v>
      </c>
      <c r="D364" s="21" t="s">
        <v>2078</v>
      </c>
      <c r="E364" s="21" t="s">
        <v>105</v>
      </c>
      <c r="F364" s="21" t="s">
        <v>2076</v>
      </c>
    </row>
    <row r="365" ht="15.75" customHeight="1">
      <c r="A365" s="21">
        <v>22.0</v>
      </c>
      <c r="B365" s="21" t="s">
        <v>610</v>
      </c>
      <c r="C365" s="21" t="s">
        <v>38</v>
      </c>
      <c r="D365" s="21" t="s">
        <v>2079</v>
      </c>
      <c r="E365" s="21" t="s">
        <v>105</v>
      </c>
      <c r="F365" s="21" t="s">
        <v>2076</v>
      </c>
    </row>
    <row r="366" ht="15.75" customHeight="1">
      <c r="A366" s="21">
        <v>22.0</v>
      </c>
      <c r="B366" s="21" t="s">
        <v>610</v>
      </c>
      <c r="C366" s="21" t="s">
        <v>39</v>
      </c>
      <c r="D366" s="21" t="s">
        <v>2080</v>
      </c>
      <c r="E366" s="21" t="s">
        <v>105</v>
      </c>
      <c r="F366" s="21" t="s">
        <v>2076</v>
      </c>
    </row>
    <row r="367" ht="15.75" customHeight="1">
      <c r="A367" s="21">
        <v>22.0</v>
      </c>
      <c r="B367" s="21" t="s">
        <v>610</v>
      </c>
      <c r="C367" s="21" t="s">
        <v>43</v>
      </c>
      <c r="D367" s="21" t="s">
        <v>2081</v>
      </c>
      <c r="E367" s="21" t="s">
        <v>105</v>
      </c>
      <c r="F367" s="21" t="s">
        <v>2076</v>
      </c>
    </row>
    <row r="368" ht="15.75" customHeight="1">
      <c r="A368" s="21">
        <v>22.0</v>
      </c>
      <c r="B368" s="21" t="s">
        <v>610</v>
      </c>
      <c r="C368" s="21" t="s">
        <v>45</v>
      </c>
      <c r="D368" s="21" t="s">
        <v>2082</v>
      </c>
      <c r="E368" s="21" t="s">
        <v>105</v>
      </c>
      <c r="F368" s="21" t="s">
        <v>2076</v>
      </c>
    </row>
    <row r="369" ht="15.75" customHeight="1">
      <c r="A369" s="21">
        <v>22.0</v>
      </c>
      <c r="B369" s="21" t="s">
        <v>610</v>
      </c>
      <c r="C369" s="21" t="s">
        <v>47</v>
      </c>
      <c r="D369" s="21" t="s">
        <v>2083</v>
      </c>
      <c r="E369" s="21" t="s">
        <v>105</v>
      </c>
      <c r="F369" s="21" t="s">
        <v>2076</v>
      </c>
    </row>
    <row r="370" ht="15.75" customHeight="1">
      <c r="A370" s="21">
        <v>22.0</v>
      </c>
      <c r="B370" s="21" t="s">
        <v>610</v>
      </c>
      <c r="C370" s="21" t="s">
        <v>53</v>
      </c>
      <c r="D370" s="21" t="s">
        <v>2084</v>
      </c>
      <c r="E370" s="21" t="s">
        <v>105</v>
      </c>
      <c r="F370" s="21" t="s">
        <v>2085</v>
      </c>
    </row>
    <row r="371" ht="15.75" customHeight="1">
      <c r="A371" s="21">
        <v>22.0</v>
      </c>
      <c r="B371" s="21" t="s">
        <v>610</v>
      </c>
      <c r="C371" s="21" t="s">
        <v>76</v>
      </c>
      <c r="D371" s="21" t="s">
        <v>1990</v>
      </c>
      <c r="E371" s="21" t="s">
        <v>1990</v>
      </c>
      <c r="F371" s="21" t="s">
        <v>2086</v>
      </c>
    </row>
    <row r="372" ht="15.75" customHeight="1">
      <c r="A372" s="21">
        <v>24.0</v>
      </c>
      <c r="B372" s="21" t="s">
        <v>643</v>
      </c>
      <c r="C372" s="21" t="s">
        <v>76</v>
      </c>
      <c r="D372" s="21" t="s">
        <v>1991</v>
      </c>
      <c r="E372" s="21" t="s">
        <v>1991</v>
      </c>
      <c r="F372" s="21" t="s">
        <v>2087</v>
      </c>
    </row>
    <row r="373" ht="15.75" customHeight="1">
      <c r="A373" s="21">
        <v>24.0</v>
      </c>
      <c r="B373" s="21" t="s">
        <v>643</v>
      </c>
      <c r="C373" s="21" t="s">
        <v>38</v>
      </c>
      <c r="D373" s="21" t="s">
        <v>2088</v>
      </c>
      <c r="E373" s="21" t="s">
        <v>105</v>
      </c>
      <c r="F373" s="21" t="s">
        <v>2089</v>
      </c>
    </row>
    <row r="374" ht="15.75" customHeight="1">
      <c r="A374" s="21">
        <v>24.0</v>
      </c>
      <c r="B374" s="21" t="s">
        <v>643</v>
      </c>
      <c r="C374" s="21" t="s">
        <v>39</v>
      </c>
      <c r="D374" s="21" t="s">
        <v>2090</v>
      </c>
      <c r="E374" s="21" t="s">
        <v>105</v>
      </c>
      <c r="F374" s="21" t="s">
        <v>2091</v>
      </c>
    </row>
    <row r="375" ht="15.75" customHeight="1">
      <c r="A375" s="21">
        <v>24.0</v>
      </c>
      <c r="B375" s="21" t="s">
        <v>643</v>
      </c>
      <c r="C375" s="21" t="s">
        <v>42</v>
      </c>
      <c r="D375" s="21" t="s">
        <v>2092</v>
      </c>
      <c r="E375" s="21" t="s">
        <v>105</v>
      </c>
      <c r="F375" s="21" t="s">
        <v>2091</v>
      </c>
    </row>
    <row r="376" ht="15.75" customHeight="1">
      <c r="A376" s="21">
        <v>24.0</v>
      </c>
      <c r="B376" s="21" t="s">
        <v>643</v>
      </c>
      <c r="C376" s="21" t="s">
        <v>43</v>
      </c>
      <c r="D376" s="21" t="s">
        <v>2093</v>
      </c>
      <c r="E376" s="21" t="s">
        <v>105</v>
      </c>
      <c r="F376" s="21" t="s">
        <v>2091</v>
      </c>
    </row>
    <row r="377" ht="15.75" customHeight="1">
      <c r="A377" s="21">
        <v>24.0</v>
      </c>
      <c r="B377" s="21" t="s">
        <v>643</v>
      </c>
      <c r="C377" s="21" t="s">
        <v>45</v>
      </c>
      <c r="D377" s="21" t="s">
        <v>2094</v>
      </c>
      <c r="E377" s="21" t="s">
        <v>105</v>
      </c>
      <c r="F377" s="21" t="s">
        <v>2091</v>
      </c>
    </row>
    <row r="378" ht="15.75" customHeight="1">
      <c r="A378" s="21">
        <v>24.0</v>
      </c>
      <c r="B378" s="21" t="s">
        <v>643</v>
      </c>
      <c r="C378" s="21" t="s">
        <v>47</v>
      </c>
      <c r="D378" s="21" t="s">
        <v>2095</v>
      </c>
      <c r="E378" s="21" t="s">
        <v>105</v>
      </c>
      <c r="F378" s="21" t="s">
        <v>2091</v>
      </c>
    </row>
    <row r="379" ht="15.75" customHeight="1">
      <c r="A379" s="21">
        <v>24.0</v>
      </c>
      <c r="B379" s="21" t="s">
        <v>643</v>
      </c>
      <c r="C379" s="21" t="s">
        <v>33</v>
      </c>
      <c r="D379" s="21" t="s">
        <v>2096</v>
      </c>
      <c r="E379" s="21" t="s">
        <v>105</v>
      </c>
      <c r="F379" s="21" t="s">
        <v>2097</v>
      </c>
    </row>
    <row r="380" ht="15.75" customHeight="1">
      <c r="A380" s="21">
        <v>24.0</v>
      </c>
      <c r="B380" s="21" t="s">
        <v>643</v>
      </c>
      <c r="C380" s="21" t="s">
        <v>53</v>
      </c>
      <c r="D380" s="21" t="s">
        <v>1969</v>
      </c>
      <c r="E380" s="21" t="s">
        <v>506</v>
      </c>
      <c r="F380" s="21" t="s">
        <v>2098</v>
      </c>
    </row>
    <row r="381" ht="15.75" customHeight="1">
      <c r="A381" s="21">
        <v>48.0</v>
      </c>
      <c r="B381" s="21" t="s">
        <v>953</v>
      </c>
      <c r="C381" s="21" t="s">
        <v>39</v>
      </c>
      <c r="D381" s="21" t="s">
        <v>2099</v>
      </c>
      <c r="E381" s="21" t="s">
        <v>105</v>
      </c>
      <c r="F381" s="21" t="s">
        <v>2100</v>
      </c>
    </row>
    <row r="382" ht="15.75" customHeight="1">
      <c r="A382" s="21">
        <v>48.0</v>
      </c>
      <c r="B382" s="21" t="s">
        <v>953</v>
      </c>
      <c r="C382" s="21" t="s">
        <v>33</v>
      </c>
      <c r="D382" s="21" t="s">
        <v>2101</v>
      </c>
      <c r="E382" s="21" t="s">
        <v>105</v>
      </c>
      <c r="F382" s="21" t="s">
        <v>2102</v>
      </c>
    </row>
    <row r="383" ht="15.75" customHeight="1">
      <c r="A383" s="21">
        <v>48.0</v>
      </c>
      <c r="B383" s="21" t="s">
        <v>953</v>
      </c>
      <c r="C383" s="21" t="s">
        <v>76</v>
      </c>
      <c r="D383" s="21" t="s">
        <v>2103</v>
      </c>
      <c r="E383" s="21" t="s">
        <v>2103</v>
      </c>
      <c r="F383" s="21" t="s">
        <v>2104</v>
      </c>
    </row>
    <row r="384" ht="15.75" customHeight="1">
      <c r="A384" s="21">
        <v>50.0</v>
      </c>
      <c r="B384" s="21" t="s">
        <v>972</v>
      </c>
      <c r="C384" s="21" t="s">
        <v>39</v>
      </c>
      <c r="D384" s="21" t="s">
        <v>2105</v>
      </c>
      <c r="E384" s="21" t="s">
        <v>105</v>
      </c>
      <c r="F384" s="21" t="s">
        <v>2106</v>
      </c>
    </row>
    <row r="385" ht="15.75" customHeight="1">
      <c r="A385" s="21">
        <v>50.0</v>
      </c>
      <c r="B385" s="21" t="s">
        <v>972</v>
      </c>
      <c r="C385" s="21" t="s">
        <v>33</v>
      </c>
      <c r="D385" s="21" t="s">
        <v>2107</v>
      </c>
      <c r="E385" s="21" t="s">
        <v>105</v>
      </c>
      <c r="F385" s="21" t="s">
        <v>2108</v>
      </c>
    </row>
    <row r="386" ht="15.75" customHeight="1">
      <c r="A386" s="21">
        <v>50.0</v>
      </c>
      <c r="B386" s="21" t="s">
        <v>972</v>
      </c>
      <c r="C386" s="21" t="s">
        <v>76</v>
      </c>
      <c r="D386" s="21" t="s">
        <v>2109</v>
      </c>
      <c r="E386" s="21" t="s">
        <v>2109</v>
      </c>
      <c r="F386" s="21" t="s">
        <v>2110</v>
      </c>
    </row>
    <row r="387" ht="15.75" customHeight="1">
      <c r="A387" s="21">
        <v>53.0</v>
      </c>
      <c r="B387" s="21" t="s">
        <v>1176</v>
      </c>
      <c r="C387" s="21" t="s">
        <v>43</v>
      </c>
      <c r="D387" s="21" t="s">
        <v>2111</v>
      </c>
      <c r="E387" s="21" t="s">
        <v>105</v>
      </c>
      <c r="F387" s="21" t="s">
        <v>2112</v>
      </c>
    </row>
    <row r="388" ht="15.75" customHeight="1">
      <c r="A388" s="21">
        <v>53.0</v>
      </c>
      <c r="B388" s="21" t="s">
        <v>1176</v>
      </c>
      <c r="C388" s="21" t="s">
        <v>33</v>
      </c>
      <c r="D388" s="21" t="s">
        <v>2113</v>
      </c>
      <c r="E388" s="21" t="s">
        <v>105</v>
      </c>
      <c r="F388" s="21" t="s">
        <v>2114</v>
      </c>
    </row>
    <row r="389" ht="15.75" customHeight="1">
      <c r="A389" s="21">
        <v>58.0</v>
      </c>
      <c r="B389" s="21" t="s">
        <v>1025</v>
      </c>
      <c r="C389" s="21" t="s">
        <v>45</v>
      </c>
      <c r="D389" s="21" t="s">
        <v>2113</v>
      </c>
      <c r="E389" s="21" t="s">
        <v>105</v>
      </c>
      <c r="F389" s="21" t="s">
        <v>2115</v>
      </c>
    </row>
    <row r="390" ht="15.75" customHeight="1">
      <c r="A390" s="21">
        <v>58.0</v>
      </c>
      <c r="B390" s="21" t="s">
        <v>1025</v>
      </c>
      <c r="C390" s="21" t="s">
        <v>33</v>
      </c>
      <c r="D390" s="21" t="s">
        <v>2116</v>
      </c>
      <c r="E390" s="21" t="s">
        <v>105</v>
      </c>
      <c r="F390" s="21" t="s">
        <v>2117</v>
      </c>
    </row>
    <row r="391" ht="15.75" customHeight="1">
      <c r="A391" s="21">
        <v>58.0</v>
      </c>
      <c r="B391" s="21" t="s">
        <v>1025</v>
      </c>
      <c r="C391" s="21" t="s">
        <v>76</v>
      </c>
      <c r="D391" s="21" t="s">
        <v>2118</v>
      </c>
      <c r="E391" s="21" t="s">
        <v>2118</v>
      </c>
      <c r="F391" s="21" t="s">
        <v>2119</v>
      </c>
    </row>
    <row r="392" ht="15.75" customHeight="1">
      <c r="A392" s="21">
        <v>59.0</v>
      </c>
      <c r="B392" s="21" t="s">
        <v>1028</v>
      </c>
      <c r="C392" s="21" t="s">
        <v>33</v>
      </c>
      <c r="D392" s="21" t="s">
        <v>2120</v>
      </c>
      <c r="E392" s="21" t="s">
        <v>105</v>
      </c>
      <c r="F392" s="21" t="s">
        <v>2121</v>
      </c>
    </row>
    <row r="393" ht="15.75" customHeight="1">
      <c r="A393" s="21">
        <v>59.0</v>
      </c>
      <c r="B393" s="21" t="s">
        <v>1028</v>
      </c>
      <c r="C393" s="21" t="s">
        <v>39</v>
      </c>
      <c r="D393" s="21" t="s">
        <v>2122</v>
      </c>
      <c r="E393" s="21" t="s">
        <v>105</v>
      </c>
      <c r="F393" s="21" t="s">
        <v>2121</v>
      </c>
    </row>
    <row r="394" ht="15.75" customHeight="1">
      <c r="A394" s="21">
        <v>59.0</v>
      </c>
      <c r="B394" s="21" t="s">
        <v>1028</v>
      </c>
      <c r="C394" s="21" t="s">
        <v>43</v>
      </c>
      <c r="D394" s="21" t="s">
        <v>2123</v>
      </c>
      <c r="E394" s="21" t="s">
        <v>105</v>
      </c>
      <c r="F394" s="21" t="s">
        <v>2121</v>
      </c>
    </row>
    <row r="395" ht="15.75" customHeight="1">
      <c r="A395" s="21">
        <v>59.0</v>
      </c>
      <c r="B395" s="21" t="s">
        <v>1028</v>
      </c>
      <c r="C395" s="21" t="s">
        <v>70</v>
      </c>
      <c r="D395" s="21" t="s">
        <v>2124</v>
      </c>
      <c r="E395" s="21" t="s">
        <v>1292</v>
      </c>
      <c r="F395" s="21" t="s">
        <v>2125</v>
      </c>
    </row>
    <row r="396" ht="15.75" customHeight="1">
      <c r="A396" s="21">
        <v>17.0</v>
      </c>
      <c r="B396" s="21" t="s">
        <v>519</v>
      </c>
      <c r="C396" s="21" t="s">
        <v>74</v>
      </c>
      <c r="D396" s="21" t="s">
        <v>553</v>
      </c>
      <c r="E396" s="21" t="s">
        <v>190</v>
      </c>
      <c r="F396" s="21" t="s">
        <v>2126</v>
      </c>
    </row>
    <row r="397" ht="15.75" customHeight="1">
      <c r="A397" s="21">
        <v>24.0</v>
      </c>
      <c r="B397" s="21" t="s">
        <v>643</v>
      </c>
      <c r="C397" s="21" t="s">
        <v>74</v>
      </c>
      <c r="D397" s="21" t="s">
        <v>553</v>
      </c>
      <c r="E397" s="21" t="s">
        <v>190</v>
      </c>
      <c r="F397" s="21" t="s">
        <v>2126</v>
      </c>
    </row>
    <row r="398" ht="15.75" customHeight="1">
      <c r="A398" s="21">
        <v>48.0</v>
      </c>
      <c r="B398" s="21" t="s">
        <v>953</v>
      </c>
      <c r="C398" s="21" t="s">
        <v>74</v>
      </c>
      <c r="D398" s="21" t="s">
        <v>553</v>
      </c>
      <c r="E398" s="21" t="s">
        <v>190</v>
      </c>
      <c r="F398" s="21" t="s">
        <v>2126</v>
      </c>
    </row>
    <row r="399" ht="15.75" customHeight="1">
      <c r="A399" s="21">
        <v>50.0</v>
      </c>
      <c r="B399" s="21" t="s">
        <v>972</v>
      </c>
      <c r="C399" s="21" t="s">
        <v>74</v>
      </c>
      <c r="D399" s="21" t="s">
        <v>553</v>
      </c>
      <c r="E399" s="21" t="s">
        <v>190</v>
      </c>
      <c r="F399" s="21" t="s">
        <v>2126</v>
      </c>
    </row>
    <row r="400" ht="15.75" customHeight="1">
      <c r="A400" s="21">
        <v>53.0</v>
      </c>
      <c r="B400" s="21" t="s">
        <v>1176</v>
      </c>
      <c r="C400" s="21" t="s">
        <v>74</v>
      </c>
      <c r="D400" s="21" t="s">
        <v>553</v>
      </c>
      <c r="E400" s="21" t="s">
        <v>190</v>
      </c>
      <c r="F400" s="21" t="s">
        <v>2126</v>
      </c>
    </row>
    <row r="401" ht="15.75" customHeight="1">
      <c r="A401" s="21">
        <v>58.0</v>
      </c>
      <c r="B401" s="21" t="s">
        <v>1025</v>
      </c>
      <c r="C401" s="21" t="s">
        <v>74</v>
      </c>
      <c r="D401" s="21" t="s">
        <v>553</v>
      </c>
      <c r="E401" s="21" t="s">
        <v>190</v>
      </c>
      <c r="F401" s="21" t="s">
        <v>2126</v>
      </c>
    </row>
    <row r="402" ht="15.75" customHeight="1">
      <c r="A402" s="21">
        <v>59.0</v>
      </c>
      <c r="B402" s="21" t="s">
        <v>1028</v>
      </c>
      <c r="C402" s="21" t="s">
        <v>74</v>
      </c>
      <c r="D402" s="21" t="s">
        <v>553</v>
      </c>
      <c r="E402" s="21" t="s">
        <v>190</v>
      </c>
      <c r="F402" s="21" t="s">
        <v>2126</v>
      </c>
    </row>
    <row r="403" ht="15.75" customHeight="1">
      <c r="A403" s="21">
        <v>66.0</v>
      </c>
      <c r="B403" s="21" t="s">
        <v>1069</v>
      </c>
      <c r="C403" s="21" t="s">
        <v>39</v>
      </c>
      <c r="D403" s="21" t="s">
        <v>2064</v>
      </c>
      <c r="E403" s="21" t="s">
        <v>105</v>
      </c>
      <c r="F403" s="21" t="s">
        <v>2127</v>
      </c>
    </row>
    <row r="404" ht="15.75" customHeight="1">
      <c r="A404" s="21">
        <v>66.0</v>
      </c>
      <c r="B404" s="21" t="s">
        <v>1069</v>
      </c>
      <c r="C404" s="21" t="s">
        <v>45</v>
      </c>
      <c r="D404" s="21" t="s">
        <v>2128</v>
      </c>
      <c r="E404" s="21" t="s">
        <v>105</v>
      </c>
      <c r="F404" s="21" t="s">
        <v>2129</v>
      </c>
    </row>
    <row r="405" ht="15.75" customHeight="1">
      <c r="A405" s="21">
        <v>66.0</v>
      </c>
      <c r="B405" s="21" t="s">
        <v>1069</v>
      </c>
      <c r="C405" s="21" t="s">
        <v>33</v>
      </c>
      <c r="D405" s="21" t="s">
        <v>2130</v>
      </c>
      <c r="E405" s="21" t="s">
        <v>105</v>
      </c>
      <c r="F405" s="21" t="s">
        <v>2131</v>
      </c>
    </row>
    <row r="406" ht="15.75" customHeight="1">
      <c r="A406" s="21">
        <v>66.0</v>
      </c>
      <c r="B406" s="21" t="s">
        <v>1069</v>
      </c>
      <c r="C406" s="21" t="s">
        <v>70</v>
      </c>
      <c r="D406" s="21" t="s">
        <v>2132</v>
      </c>
      <c r="E406" s="21" t="s">
        <v>1327</v>
      </c>
      <c r="F406" s="21" t="s">
        <v>2133</v>
      </c>
    </row>
    <row r="407" ht="15.75" customHeight="1">
      <c r="A407" s="21">
        <v>66.0</v>
      </c>
      <c r="B407" s="21" t="s">
        <v>1069</v>
      </c>
      <c r="C407" s="21" t="s">
        <v>76</v>
      </c>
      <c r="D407" s="21" t="s">
        <v>2134</v>
      </c>
      <c r="E407" s="21" t="s">
        <v>2134</v>
      </c>
      <c r="F407" s="21" t="s">
        <v>2135</v>
      </c>
    </row>
    <row r="408" ht="15.75" customHeight="1">
      <c r="A408" s="21">
        <v>70.0</v>
      </c>
      <c r="B408" s="21" t="s">
        <v>1011</v>
      </c>
      <c r="C408" s="21" t="s">
        <v>43</v>
      </c>
      <c r="D408" s="21" t="s">
        <v>2136</v>
      </c>
      <c r="E408" s="21" t="s">
        <v>105</v>
      </c>
      <c r="F408" s="21" t="s">
        <v>2137</v>
      </c>
    </row>
    <row r="409" ht="15.75" customHeight="1">
      <c r="A409" s="21">
        <v>70.0</v>
      </c>
      <c r="B409" s="21" t="s">
        <v>1011</v>
      </c>
      <c r="C409" s="21" t="s">
        <v>33</v>
      </c>
      <c r="D409" s="21" t="s">
        <v>2000</v>
      </c>
      <c r="E409" s="21" t="s">
        <v>105</v>
      </c>
      <c r="F409" s="21" t="s">
        <v>2131</v>
      </c>
    </row>
    <row r="410" ht="15.75" customHeight="1">
      <c r="A410" s="21">
        <v>87.0</v>
      </c>
      <c r="B410" s="21" t="s">
        <v>1181</v>
      </c>
      <c r="C410" s="21" t="s">
        <v>39</v>
      </c>
      <c r="D410" s="21" t="s">
        <v>2138</v>
      </c>
      <c r="E410" s="21" t="s">
        <v>105</v>
      </c>
      <c r="F410" s="21" t="s">
        <v>2139</v>
      </c>
    </row>
    <row r="411" ht="15.75" customHeight="1">
      <c r="A411" s="21">
        <v>87.0</v>
      </c>
      <c r="B411" s="21" t="s">
        <v>1181</v>
      </c>
      <c r="C411" s="21" t="s">
        <v>43</v>
      </c>
      <c r="D411" s="21" t="s">
        <v>34</v>
      </c>
      <c r="E411" s="21" t="s">
        <v>105</v>
      </c>
      <c r="F411" s="21" t="s">
        <v>2140</v>
      </c>
    </row>
    <row r="412" ht="15.75" customHeight="1">
      <c r="A412" s="21">
        <v>87.0</v>
      </c>
      <c r="B412" s="21" t="s">
        <v>1181</v>
      </c>
      <c r="C412" s="21" t="s">
        <v>33</v>
      </c>
      <c r="D412" s="21" t="s">
        <v>2141</v>
      </c>
      <c r="E412" s="21" t="s">
        <v>105</v>
      </c>
      <c r="F412" s="21" t="s">
        <v>2142</v>
      </c>
    </row>
    <row r="413" ht="15.75" customHeight="1">
      <c r="A413" s="21">
        <v>87.0</v>
      </c>
      <c r="B413" s="21" t="s">
        <v>1181</v>
      </c>
      <c r="C413" s="21" t="s">
        <v>76</v>
      </c>
      <c r="D413" s="21" t="s">
        <v>2143</v>
      </c>
      <c r="E413" s="21" t="s">
        <v>2143</v>
      </c>
      <c r="F413" s="21" t="s">
        <v>2144</v>
      </c>
    </row>
    <row r="414" ht="15.75" customHeight="1">
      <c r="A414" s="21">
        <v>90.0</v>
      </c>
      <c r="B414" s="21" t="s">
        <v>1198</v>
      </c>
      <c r="C414" s="21" t="s">
        <v>53</v>
      </c>
      <c r="D414" s="21" t="s">
        <v>2145</v>
      </c>
      <c r="E414" s="21" t="s">
        <v>576</v>
      </c>
      <c r="F414" s="21" t="s">
        <v>2146</v>
      </c>
    </row>
    <row r="415" ht="15.75" customHeight="1">
      <c r="A415" s="21">
        <v>90.0</v>
      </c>
      <c r="B415" s="21" t="s">
        <v>1198</v>
      </c>
      <c r="C415" s="21" t="s">
        <v>43</v>
      </c>
      <c r="D415" s="21" t="s">
        <v>2147</v>
      </c>
      <c r="E415" s="21" t="s">
        <v>105</v>
      </c>
      <c r="F415" s="21" t="s">
        <v>2148</v>
      </c>
    </row>
    <row r="416" ht="15.75" customHeight="1">
      <c r="A416" s="21">
        <v>90.0</v>
      </c>
      <c r="B416" s="21" t="s">
        <v>1198</v>
      </c>
      <c r="C416" s="21" t="s">
        <v>39</v>
      </c>
      <c r="D416" s="21" t="s">
        <v>2019</v>
      </c>
      <c r="E416" s="21" t="s">
        <v>105</v>
      </c>
      <c r="F416" s="21" t="s">
        <v>2149</v>
      </c>
    </row>
    <row r="417" ht="15.75" customHeight="1">
      <c r="A417" s="21">
        <v>90.0</v>
      </c>
      <c r="B417" s="21" t="s">
        <v>1198</v>
      </c>
      <c r="C417" s="21" t="s">
        <v>76</v>
      </c>
      <c r="D417" s="21" t="s">
        <v>2150</v>
      </c>
      <c r="E417" s="21" t="s">
        <v>2150</v>
      </c>
      <c r="F417" s="21" t="s">
        <v>2151</v>
      </c>
    </row>
    <row r="418" ht="15.75" customHeight="1">
      <c r="A418" s="21">
        <v>92.0</v>
      </c>
      <c r="B418" s="21" t="s">
        <v>1206</v>
      </c>
      <c r="C418" s="21" t="s">
        <v>39</v>
      </c>
      <c r="D418" s="21" t="s">
        <v>2152</v>
      </c>
      <c r="E418" s="21" t="s">
        <v>105</v>
      </c>
      <c r="F418" s="21" t="s">
        <v>2153</v>
      </c>
    </row>
    <row r="419" ht="15.75" customHeight="1">
      <c r="A419" s="21">
        <v>92.0</v>
      </c>
      <c r="B419" s="21" t="s">
        <v>1206</v>
      </c>
      <c r="C419" s="21" t="s">
        <v>33</v>
      </c>
      <c r="D419" s="21" t="s">
        <v>2154</v>
      </c>
      <c r="E419" s="21" t="s">
        <v>105</v>
      </c>
      <c r="F419" s="21" t="s">
        <v>2155</v>
      </c>
    </row>
    <row r="420" ht="15.75" customHeight="1">
      <c r="A420" s="21">
        <v>92.0</v>
      </c>
      <c r="B420" s="21" t="s">
        <v>1206</v>
      </c>
      <c r="C420" s="21" t="s">
        <v>71</v>
      </c>
      <c r="D420" s="21" t="s">
        <v>232</v>
      </c>
      <c r="E420" s="21" t="s">
        <v>284</v>
      </c>
      <c r="F420" s="21" t="s">
        <v>2156</v>
      </c>
    </row>
    <row r="421" ht="15.75" customHeight="1">
      <c r="A421" s="21">
        <v>92.0</v>
      </c>
      <c r="B421" s="21" t="s">
        <v>1206</v>
      </c>
      <c r="C421" s="21" t="s">
        <v>76</v>
      </c>
      <c r="D421" s="21" t="s">
        <v>2157</v>
      </c>
      <c r="E421" s="21" t="s">
        <v>2157</v>
      </c>
      <c r="F421" s="21" t="s">
        <v>2158</v>
      </c>
    </row>
    <row r="422" ht="15.75" customHeight="1">
      <c r="A422" s="21">
        <v>96.0</v>
      </c>
      <c r="B422" s="21" t="s">
        <v>1226</v>
      </c>
      <c r="C422" s="21" t="s">
        <v>39</v>
      </c>
      <c r="D422" s="21" t="s">
        <v>2159</v>
      </c>
      <c r="E422" s="21" t="s">
        <v>105</v>
      </c>
      <c r="F422" s="21" t="s">
        <v>2160</v>
      </c>
    </row>
    <row r="423" ht="15.75" customHeight="1">
      <c r="A423" s="21">
        <v>96.0</v>
      </c>
      <c r="B423" s="21" t="s">
        <v>1226</v>
      </c>
      <c r="C423" s="21" t="s">
        <v>33</v>
      </c>
      <c r="D423" s="21" t="s">
        <v>2161</v>
      </c>
      <c r="E423" s="21" t="s">
        <v>105</v>
      </c>
      <c r="F423" s="21" t="s">
        <v>2131</v>
      </c>
    </row>
    <row r="424" ht="15.75" customHeight="1">
      <c r="A424" s="21">
        <v>96.0</v>
      </c>
      <c r="B424" s="21" t="s">
        <v>1226</v>
      </c>
      <c r="C424" s="21" t="s">
        <v>76</v>
      </c>
      <c r="D424" s="21" t="s">
        <v>2162</v>
      </c>
      <c r="E424" s="21" t="s">
        <v>2162</v>
      </c>
      <c r="F424" s="21" t="s">
        <v>2163</v>
      </c>
    </row>
    <row r="425" ht="15.75" customHeight="1">
      <c r="A425" s="21">
        <v>60.0</v>
      </c>
      <c r="B425" s="21" t="s">
        <v>1034</v>
      </c>
      <c r="C425" s="21" t="s">
        <v>38</v>
      </c>
      <c r="D425" s="21" t="s">
        <v>105</v>
      </c>
      <c r="E425" s="21" t="s">
        <v>2164</v>
      </c>
      <c r="F425" s="21" t="s">
        <v>2165</v>
      </c>
    </row>
    <row r="426" ht="15.75" customHeight="1">
      <c r="A426" s="21">
        <v>60.0</v>
      </c>
      <c r="B426" s="21" t="s">
        <v>1034</v>
      </c>
      <c r="C426" s="21" t="s">
        <v>42</v>
      </c>
      <c r="D426" s="21" t="s">
        <v>105</v>
      </c>
      <c r="E426" s="21" t="s">
        <v>2166</v>
      </c>
      <c r="F426" s="21" t="s">
        <v>2167</v>
      </c>
    </row>
    <row r="427" ht="15.75" customHeight="1">
      <c r="A427" s="21">
        <v>60.0</v>
      </c>
      <c r="B427" s="21" t="s">
        <v>1034</v>
      </c>
      <c r="C427" s="21" t="s">
        <v>43</v>
      </c>
      <c r="D427" s="21" t="s">
        <v>105</v>
      </c>
      <c r="E427" s="21" t="s">
        <v>2168</v>
      </c>
      <c r="F427" s="21" t="s">
        <v>2169</v>
      </c>
    </row>
    <row r="428" ht="15.75" customHeight="1">
      <c r="A428" s="21">
        <v>60.0</v>
      </c>
      <c r="B428" s="21" t="s">
        <v>1034</v>
      </c>
      <c r="C428" s="21" t="s">
        <v>45</v>
      </c>
      <c r="D428" s="21" t="s">
        <v>105</v>
      </c>
      <c r="E428" s="21" t="s">
        <v>2170</v>
      </c>
      <c r="F428" s="21" t="s">
        <v>2171</v>
      </c>
    </row>
    <row r="429" ht="15.75" customHeight="1">
      <c r="A429" s="21">
        <v>60.0</v>
      </c>
      <c r="B429" s="21" t="s">
        <v>1034</v>
      </c>
      <c r="C429" s="21" t="s">
        <v>47</v>
      </c>
      <c r="D429" s="21" t="s">
        <v>105</v>
      </c>
      <c r="E429" s="21" t="s">
        <v>2172</v>
      </c>
      <c r="F429" s="21" t="s">
        <v>2173</v>
      </c>
    </row>
    <row r="430" ht="15.75" customHeight="1">
      <c r="A430" s="21">
        <v>60.0</v>
      </c>
      <c r="B430" s="21" t="s">
        <v>1034</v>
      </c>
      <c r="C430" s="21" t="s">
        <v>71</v>
      </c>
      <c r="D430" s="21" t="s">
        <v>284</v>
      </c>
      <c r="E430" s="21" t="s">
        <v>486</v>
      </c>
      <c r="F430" s="21" t="s">
        <v>2174</v>
      </c>
    </row>
    <row r="431" ht="15.75" customHeight="1">
      <c r="A431" s="21">
        <v>60.0</v>
      </c>
      <c r="B431" s="21" t="s">
        <v>1034</v>
      </c>
      <c r="C431" s="21" t="s">
        <v>70</v>
      </c>
      <c r="D431" s="21" t="s">
        <v>2175</v>
      </c>
      <c r="E431" s="21" t="s">
        <v>1298</v>
      </c>
      <c r="F431" s="21" t="s">
        <v>2176</v>
      </c>
    </row>
    <row r="432" ht="15.75" customHeight="1">
      <c r="A432" s="21">
        <v>60.0</v>
      </c>
      <c r="B432" s="21" t="s">
        <v>1034</v>
      </c>
      <c r="C432" s="21" t="s">
        <v>76</v>
      </c>
      <c r="D432" s="21" t="s">
        <v>2177</v>
      </c>
      <c r="E432" s="21" t="s">
        <v>2177</v>
      </c>
      <c r="F432" s="21" t="s">
        <v>2178</v>
      </c>
    </row>
    <row r="433" ht="15.75" customHeight="1">
      <c r="A433" s="21">
        <v>49.0</v>
      </c>
      <c r="B433" s="21" t="s">
        <v>963</v>
      </c>
      <c r="C433" s="21" t="s">
        <v>53</v>
      </c>
      <c r="D433" s="21" t="s">
        <v>106</v>
      </c>
      <c r="E433" s="21" t="s">
        <v>1110</v>
      </c>
      <c r="F433" s="21" t="s">
        <v>2179</v>
      </c>
    </row>
    <row r="434" ht="15.75" customHeight="1">
      <c r="A434" s="21">
        <v>49.0</v>
      </c>
      <c r="B434" s="21" t="s">
        <v>963</v>
      </c>
      <c r="C434" s="21" t="s">
        <v>76</v>
      </c>
      <c r="D434" s="21" t="s">
        <v>2180</v>
      </c>
      <c r="E434" s="21" t="s">
        <v>2180</v>
      </c>
      <c r="F434" s="21" t="s">
        <v>2181</v>
      </c>
    </row>
    <row r="435" ht="15.75" customHeight="1">
      <c r="A435" s="21">
        <v>51.0</v>
      </c>
      <c r="B435" s="21" t="s">
        <v>982</v>
      </c>
      <c r="C435" s="21" t="s">
        <v>76</v>
      </c>
      <c r="D435" s="21" t="s">
        <v>2182</v>
      </c>
      <c r="E435" s="21" t="s">
        <v>2182</v>
      </c>
      <c r="F435" s="21" t="s">
        <v>2183</v>
      </c>
    </row>
    <row r="436" ht="15.75" customHeight="1">
      <c r="A436" s="21">
        <v>36.0</v>
      </c>
      <c r="B436" s="21" t="s">
        <v>852</v>
      </c>
      <c r="C436" s="21" t="s">
        <v>76</v>
      </c>
      <c r="D436" s="21" t="s">
        <v>1737</v>
      </c>
      <c r="E436" s="21" t="s">
        <v>1737</v>
      </c>
      <c r="F436" s="21" t="s">
        <v>2184</v>
      </c>
    </row>
    <row r="437" ht="15.75" customHeight="1">
      <c r="A437" s="21">
        <v>54.0</v>
      </c>
      <c r="B437" s="21" t="s">
        <v>1001</v>
      </c>
      <c r="C437" s="21" t="s">
        <v>76</v>
      </c>
      <c r="D437" s="21" t="s">
        <v>2185</v>
      </c>
      <c r="E437" s="21" t="s">
        <v>2185</v>
      </c>
      <c r="F437" s="21" t="s">
        <v>2186</v>
      </c>
    </row>
    <row r="438" ht="15.75" customHeight="1">
      <c r="A438" s="21">
        <v>2.0</v>
      </c>
      <c r="B438" s="21" t="s">
        <v>85</v>
      </c>
      <c r="C438" s="21" t="s">
        <v>74</v>
      </c>
      <c r="D438" s="21" t="s">
        <v>553</v>
      </c>
      <c r="E438" s="21" t="s">
        <v>190</v>
      </c>
      <c r="F438" s="21" t="s">
        <v>2187</v>
      </c>
    </row>
    <row r="439" ht="15.75" customHeight="1">
      <c r="A439" s="21">
        <v>27.0</v>
      </c>
      <c r="B439" s="21" t="s">
        <v>695</v>
      </c>
      <c r="C439" s="21" t="s">
        <v>74</v>
      </c>
      <c r="D439" s="21" t="s">
        <v>553</v>
      </c>
      <c r="E439" s="21" t="s">
        <v>190</v>
      </c>
      <c r="F439" s="21" t="s">
        <v>2187</v>
      </c>
    </row>
    <row r="440" ht="15.75" customHeight="1">
      <c r="A440" s="21">
        <v>33.0</v>
      </c>
      <c r="B440" s="21" t="s">
        <v>788</v>
      </c>
      <c r="C440" s="21" t="s">
        <v>74</v>
      </c>
      <c r="D440" s="21" t="s">
        <v>553</v>
      </c>
      <c r="E440" s="21" t="s">
        <v>190</v>
      </c>
      <c r="F440" s="21" t="s">
        <v>2187</v>
      </c>
    </row>
    <row r="441" ht="15.75" customHeight="1">
      <c r="A441" s="21">
        <v>36.0</v>
      </c>
      <c r="B441" s="21" t="s">
        <v>852</v>
      </c>
      <c r="C441" s="21" t="s">
        <v>74</v>
      </c>
      <c r="D441" s="21" t="s">
        <v>553</v>
      </c>
      <c r="E441" s="21" t="s">
        <v>190</v>
      </c>
      <c r="F441" s="21" t="s">
        <v>2187</v>
      </c>
    </row>
    <row r="442" ht="15.75" customHeight="1">
      <c r="A442" s="21">
        <v>38.0</v>
      </c>
      <c r="B442" s="21" t="s">
        <v>897</v>
      </c>
      <c r="C442" s="21" t="s">
        <v>74</v>
      </c>
      <c r="D442" s="21" t="s">
        <v>553</v>
      </c>
      <c r="E442" s="21" t="s">
        <v>190</v>
      </c>
      <c r="F442" s="21" t="s">
        <v>2187</v>
      </c>
    </row>
    <row r="443" ht="15.75" customHeight="1">
      <c r="A443" s="21">
        <v>43.0</v>
      </c>
      <c r="B443" s="21" t="s">
        <v>928</v>
      </c>
      <c r="C443" s="21" t="s">
        <v>74</v>
      </c>
      <c r="D443" s="21" t="s">
        <v>553</v>
      </c>
      <c r="E443" s="21" t="s">
        <v>190</v>
      </c>
      <c r="F443" s="21" t="s">
        <v>2187</v>
      </c>
    </row>
    <row r="444" ht="15.75" customHeight="1">
      <c r="A444" s="21">
        <v>49.0</v>
      </c>
      <c r="B444" s="21" t="s">
        <v>963</v>
      </c>
      <c r="C444" s="21" t="s">
        <v>74</v>
      </c>
      <c r="D444" s="21" t="s">
        <v>553</v>
      </c>
      <c r="E444" s="21" t="s">
        <v>190</v>
      </c>
      <c r="F444" s="21" t="s">
        <v>2187</v>
      </c>
    </row>
    <row r="445" ht="15.75" customHeight="1">
      <c r="A445" s="21">
        <v>51.0</v>
      </c>
      <c r="B445" s="21" t="s">
        <v>982</v>
      </c>
      <c r="C445" s="21" t="s">
        <v>74</v>
      </c>
      <c r="D445" s="21" t="s">
        <v>553</v>
      </c>
      <c r="E445" s="21" t="s">
        <v>190</v>
      </c>
      <c r="F445" s="21" t="s">
        <v>2187</v>
      </c>
    </row>
    <row r="446" ht="15.75" customHeight="1">
      <c r="A446" s="21">
        <v>52.0</v>
      </c>
      <c r="B446" s="21" t="s">
        <v>991</v>
      </c>
      <c r="C446" s="21" t="s">
        <v>74</v>
      </c>
      <c r="D446" s="21" t="s">
        <v>553</v>
      </c>
      <c r="E446" s="21" t="s">
        <v>190</v>
      </c>
      <c r="F446" s="21" t="s">
        <v>2187</v>
      </c>
    </row>
    <row r="447" ht="15.75" customHeight="1">
      <c r="A447" s="21">
        <v>54.0</v>
      </c>
      <c r="B447" s="21" t="s">
        <v>1001</v>
      </c>
      <c r="C447" s="21" t="s">
        <v>74</v>
      </c>
      <c r="D447" s="21" t="s">
        <v>553</v>
      </c>
      <c r="E447" s="21" t="s">
        <v>190</v>
      </c>
      <c r="F447" s="21" t="s">
        <v>2187</v>
      </c>
    </row>
    <row r="448" ht="15.75" customHeight="1">
      <c r="A448" s="21">
        <v>56.0</v>
      </c>
      <c r="B448" s="21" t="s">
        <v>1135</v>
      </c>
      <c r="C448" s="21" t="s">
        <v>74</v>
      </c>
      <c r="D448" s="21" t="s">
        <v>553</v>
      </c>
      <c r="E448" s="21" t="s">
        <v>190</v>
      </c>
      <c r="F448" s="21" t="s">
        <v>2187</v>
      </c>
    </row>
    <row r="449" ht="15.75" customHeight="1">
      <c r="A449" s="21">
        <v>57.0</v>
      </c>
      <c r="B449" s="21" t="s">
        <v>1016</v>
      </c>
      <c r="C449" s="21" t="s">
        <v>74</v>
      </c>
      <c r="D449" s="21" t="s">
        <v>553</v>
      </c>
      <c r="E449" s="21" t="s">
        <v>190</v>
      </c>
      <c r="F449" s="21" t="s">
        <v>2187</v>
      </c>
    </row>
    <row r="450" ht="15.75" customHeight="1">
      <c r="A450" s="21">
        <v>60.0</v>
      </c>
      <c r="B450" s="21" t="s">
        <v>1034</v>
      </c>
      <c r="C450" s="21" t="s">
        <v>74</v>
      </c>
      <c r="D450" s="21" t="s">
        <v>553</v>
      </c>
      <c r="E450" s="21" t="s">
        <v>190</v>
      </c>
      <c r="F450" s="21" t="s">
        <v>2187</v>
      </c>
    </row>
    <row r="451" ht="15.75" customHeight="1">
      <c r="A451" s="21">
        <v>62.0</v>
      </c>
      <c r="B451" s="21" t="s">
        <v>1044</v>
      </c>
      <c r="C451" s="21" t="s">
        <v>74</v>
      </c>
      <c r="D451" s="21" t="s">
        <v>553</v>
      </c>
      <c r="E451" s="21" t="s">
        <v>190</v>
      </c>
      <c r="F451" s="21" t="s">
        <v>2187</v>
      </c>
    </row>
    <row r="452" ht="15.75" customHeight="1">
      <c r="A452" s="21">
        <v>66.0</v>
      </c>
      <c r="B452" s="21" t="s">
        <v>1069</v>
      </c>
      <c r="C452" s="21" t="s">
        <v>74</v>
      </c>
      <c r="D452" s="21" t="s">
        <v>553</v>
      </c>
      <c r="E452" s="21" t="s">
        <v>190</v>
      </c>
      <c r="F452" s="21" t="s">
        <v>2187</v>
      </c>
    </row>
    <row r="453" ht="15.75" customHeight="1">
      <c r="A453" s="21">
        <v>70.0</v>
      </c>
      <c r="B453" s="21" t="s">
        <v>1011</v>
      </c>
      <c r="C453" s="21" t="s">
        <v>74</v>
      </c>
      <c r="D453" s="21" t="s">
        <v>553</v>
      </c>
      <c r="E453" s="21" t="s">
        <v>190</v>
      </c>
      <c r="F453" s="21" t="s">
        <v>2187</v>
      </c>
    </row>
    <row r="454" ht="15.75" customHeight="1">
      <c r="A454" s="21">
        <v>87.0</v>
      </c>
      <c r="B454" s="21" t="s">
        <v>1181</v>
      </c>
      <c r="C454" s="21" t="s">
        <v>74</v>
      </c>
      <c r="D454" s="21" t="s">
        <v>553</v>
      </c>
      <c r="E454" s="21" t="s">
        <v>190</v>
      </c>
      <c r="F454" s="21" t="s">
        <v>2187</v>
      </c>
    </row>
    <row r="455" ht="15.75" customHeight="1">
      <c r="A455" s="21">
        <v>90.0</v>
      </c>
      <c r="B455" s="21" t="s">
        <v>1198</v>
      </c>
      <c r="C455" s="21" t="s">
        <v>74</v>
      </c>
      <c r="D455" s="21" t="s">
        <v>553</v>
      </c>
      <c r="E455" s="21" t="s">
        <v>190</v>
      </c>
      <c r="F455" s="21" t="s">
        <v>2187</v>
      </c>
    </row>
    <row r="456" ht="15.75" customHeight="1">
      <c r="A456" s="21">
        <v>92.0</v>
      </c>
      <c r="B456" s="21" t="s">
        <v>1206</v>
      </c>
      <c r="C456" s="21" t="s">
        <v>74</v>
      </c>
      <c r="D456" s="21" t="s">
        <v>553</v>
      </c>
      <c r="E456" s="21" t="s">
        <v>190</v>
      </c>
      <c r="F456" s="21" t="s">
        <v>2187</v>
      </c>
    </row>
    <row r="457" ht="15.75" customHeight="1">
      <c r="A457" s="21">
        <v>96.0</v>
      </c>
      <c r="B457" s="21" t="s">
        <v>1226</v>
      </c>
      <c r="C457" s="21" t="s">
        <v>74</v>
      </c>
      <c r="D457" s="21" t="s">
        <v>553</v>
      </c>
      <c r="E457" s="21" t="s">
        <v>190</v>
      </c>
      <c r="F457" s="21" t="s">
        <v>2187</v>
      </c>
    </row>
    <row r="458" ht="15.75" customHeight="1">
      <c r="A458" s="21">
        <v>74.0</v>
      </c>
      <c r="B458" s="21" t="s">
        <v>1118</v>
      </c>
      <c r="C458" s="21" t="s">
        <v>76</v>
      </c>
      <c r="D458" s="21" t="s">
        <v>1833</v>
      </c>
      <c r="E458" s="21" t="s">
        <v>1833</v>
      </c>
      <c r="F458" s="21" t="s">
        <v>2188</v>
      </c>
    </row>
    <row r="459" ht="15.75" customHeight="1">
      <c r="A459" s="21">
        <v>93.0</v>
      </c>
      <c r="B459" s="21" t="s">
        <v>1210</v>
      </c>
      <c r="C459" s="21" t="s">
        <v>76</v>
      </c>
      <c r="D459" s="21" t="s">
        <v>2189</v>
      </c>
      <c r="E459" s="21" t="s">
        <v>2190</v>
      </c>
      <c r="F459" s="21" t="s">
        <v>2188</v>
      </c>
    </row>
    <row r="460" ht="15.75" customHeight="1">
      <c r="A460" s="21">
        <v>102.0</v>
      </c>
      <c r="B460" s="21" t="s">
        <v>1248</v>
      </c>
      <c r="C460" s="21" t="s">
        <v>76</v>
      </c>
      <c r="D460" s="21" t="s">
        <v>2191</v>
      </c>
      <c r="E460" s="21" t="s">
        <v>2192</v>
      </c>
      <c r="F460" s="21" t="s">
        <v>2188</v>
      </c>
    </row>
    <row r="461" ht="15.75" customHeight="1">
      <c r="A461" s="21">
        <v>91.0</v>
      </c>
      <c r="B461" s="21" t="s">
        <v>1201</v>
      </c>
      <c r="C461" s="21" t="s">
        <v>76</v>
      </c>
      <c r="D461" s="21" t="s">
        <v>2193</v>
      </c>
      <c r="E461" s="21" t="s">
        <v>2194</v>
      </c>
      <c r="F461" s="21" t="s">
        <v>2188</v>
      </c>
    </row>
    <row r="462" ht="15.75" customHeight="1">
      <c r="A462" s="21">
        <v>89.0</v>
      </c>
      <c r="B462" s="21" t="s">
        <v>1194</v>
      </c>
      <c r="C462" s="21" t="s">
        <v>76</v>
      </c>
      <c r="D462" s="21" t="s">
        <v>1852</v>
      </c>
      <c r="E462" s="21" t="s">
        <v>2195</v>
      </c>
      <c r="F462" s="21" t="s">
        <v>2188</v>
      </c>
    </row>
    <row r="463" ht="15.75" customHeight="1">
      <c r="A463" s="21">
        <v>99.0</v>
      </c>
      <c r="B463" s="21" t="s">
        <v>1237</v>
      </c>
      <c r="C463" s="21" t="s">
        <v>76</v>
      </c>
      <c r="D463" s="21" t="s">
        <v>2196</v>
      </c>
      <c r="E463" s="21" t="s">
        <v>2196</v>
      </c>
      <c r="F463" s="21" t="s">
        <v>2188</v>
      </c>
    </row>
    <row r="464" ht="15.75" customHeight="1">
      <c r="A464" s="21">
        <v>108.0</v>
      </c>
      <c r="B464" s="21" t="s">
        <v>1281</v>
      </c>
      <c r="C464" s="21" t="s">
        <v>76</v>
      </c>
      <c r="D464" s="21" t="s">
        <v>1860</v>
      </c>
      <c r="E464" s="21" t="s">
        <v>1860</v>
      </c>
      <c r="F464" s="21" t="s">
        <v>2188</v>
      </c>
    </row>
    <row r="465" ht="15.75" customHeight="1">
      <c r="A465" s="21">
        <v>104.0</v>
      </c>
      <c r="B465" s="21" t="s">
        <v>1259</v>
      </c>
      <c r="C465" s="21" t="s">
        <v>76</v>
      </c>
      <c r="D465" s="21" t="s">
        <v>2197</v>
      </c>
      <c r="E465" s="21" t="s">
        <v>2197</v>
      </c>
      <c r="F465" s="21" t="s">
        <v>2188</v>
      </c>
    </row>
    <row r="466" ht="15.75" customHeight="1">
      <c r="A466" s="21">
        <v>84.0</v>
      </c>
      <c r="B466" s="21" t="s">
        <v>1166</v>
      </c>
      <c r="C466" s="21" t="s">
        <v>76</v>
      </c>
      <c r="D466" s="21" t="s">
        <v>1845</v>
      </c>
      <c r="E466" s="21" t="s">
        <v>1845</v>
      </c>
      <c r="F466" s="21" t="s">
        <v>2188</v>
      </c>
    </row>
    <row r="467" ht="15.75" customHeight="1">
      <c r="A467" s="21">
        <v>63.0</v>
      </c>
      <c r="B467" s="21" t="s">
        <v>1049</v>
      </c>
      <c r="C467" s="21" t="s">
        <v>76</v>
      </c>
      <c r="D467" s="21" t="s">
        <v>2198</v>
      </c>
      <c r="E467" s="21" t="s">
        <v>2198</v>
      </c>
      <c r="F467" s="21" t="s">
        <v>2188</v>
      </c>
    </row>
    <row r="468" ht="15.75" customHeight="1">
      <c r="A468" s="21">
        <v>84.0</v>
      </c>
      <c r="B468" s="21" t="s">
        <v>1166</v>
      </c>
      <c r="C468" s="21" t="s">
        <v>53</v>
      </c>
      <c r="D468" s="21" t="s">
        <v>105</v>
      </c>
      <c r="E468" s="21" t="s">
        <v>257</v>
      </c>
      <c r="F468" s="21" t="s">
        <v>2199</v>
      </c>
    </row>
    <row r="469" ht="15.75" customHeight="1">
      <c r="A469" s="21">
        <v>79.0</v>
      </c>
      <c r="B469" s="21" t="s">
        <v>1140</v>
      </c>
      <c r="C469" s="21" t="s">
        <v>76</v>
      </c>
      <c r="D469" s="21" t="s">
        <v>2200</v>
      </c>
      <c r="E469" s="21" t="s">
        <v>2200</v>
      </c>
      <c r="F469" s="21" t="s">
        <v>2201</v>
      </c>
    </row>
    <row r="470" ht="15.75" customHeight="1">
      <c r="A470" s="21">
        <v>103.0</v>
      </c>
      <c r="B470" s="21" t="s">
        <v>1252</v>
      </c>
      <c r="C470" s="21" t="s">
        <v>76</v>
      </c>
      <c r="D470" s="21" t="s">
        <v>2202</v>
      </c>
      <c r="E470" s="21" t="s">
        <v>2202</v>
      </c>
      <c r="F470" s="21" t="s">
        <v>2203</v>
      </c>
    </row>
    <row r="471" ht="15.75" customHeight="1">
      <c r="A471" s="21">
        <v>106.0</v>
      </c>
      <c r="B471" s="21" t="s">
        <v>1265</v>
      </c>
      <c r="C471" s="21" t="s">
        <v>76</v>
      </c>
      <c r="D471" s="21" t="s">
        <v>2204</v>
      </c>
      <c r="E471" s="21" t="s">
        <v>2204</v>
      </c>
      <c r="F471" s="21" t="s">
        <v>2205</v>
      </c>
    </row>
    <row r="472" ht="15.75" customHeight="1">
      <c r="A472" s="21">
        <v>107.0</v>
      </c>
      <c r="B472" s="21" t="s">
        <v>1274</v>
      </c>
      <c r="C472" s="21" t="s">
        <v>76</v>
      </c>
      <c r="D472" s="21" t="s">
        <v>2206</v>
      </c>
      <c r="E472" s="21" t="s">
        <v>1571</v>
      </c>
      <c r="F472" s="21" t="s">
        <v>2205</v>
      </c>
    </row>
    <row r="473" ht="15.75" customHeight="1">
      <c r="A473" s="21">
        <v>105.0</v>
      </c>
      <c r="B473" s="21" t="s">
        <v>1262</v>
      </c>
      <c r="C473" s="21" t="s">
        <v>76</v>
      </c>
      <c r="D473" s="21" t="s">
        <v>2207</v>
      </c>
      <c r="E473" s="21" t="s">
        <v>2207</v>
      </c>
      <c r="F473" s="21" t="s">
        <v>2205</v>
      </c>
    </row>
    <row r="474" ht="15.75" customHeight="1">
      <c r="A474" s="21">
        <v>72.0</v>
      </c>
      <c r="B474" s="21" t="s">
        <v>1108</v>
      </c>
      <c r="C474" s="21" t="s">
        <v>76</v>
      </c>
      <c r="D474" s="21" t="s">
        <v>1821</v>
      </c>
      <c r="E474" s="21" t="s">
        <v>1821</v>
      </c>
      <c r="F474" s="21" t="s">
        <v>2205</v>
      </c>
    </row>
    <row r="475" ht="15.75" customHeight="1">
      <c r="A475" s="21">
        <v>82.0</v>
      </c>
      <c r="B475" s="21" t="s">
        <v>1152</v>
      </c>
      <c r="C475" s="21" t="s">
        <v>76</v>
      </c>
      <c r="D475" s="21" t="s">
        <v>2208</v>
      </c>
      <c r="E475" s="21" t="s">
        <v>2209</v>
      </c>
      <c r="F475" s="21" t="s">
        <v>2205</v>
      </c>
    </row>
    <row r="476" ht="15.75" customHeight="1">
      <c r="A476" s="21">
        <v>69.0</v>
      </c>
      <c r="B476" s="21" t="s">
        <v>1093</v>
      </c>
      <c r="C476" s="21" t="s">
        <v>76</v>
      </c>
      <c r="D476" s="21" t="s">
        <v>2210</v>
      </c>
      <c r="E476" s="21" t="s">
        <v>2210</v>
      </c>
      <c r="F476" s="21" t="s">
        <v>2205</v>
      </c>
    </row>
    <row r="477" ht="15.75" customHeight="1">
      <c r="A477" s="21">
        <v>63.0</v>
      </c>
      <c r="B477" s="21" t="s">
        <v>1049</v>
      </c>
      <c r="C477" s="21" t="s">
        <v>74</v>
      </c>
      <c r="D477" s="21" t="s">
        <v>553</v>
      </c>
      <c r="E477" s="21" t="s">
        <v>190</v>
      </c>
      <c r="F477" s="21" t="s">
        <v>2211</v>
      </c>
    </row>
    <row r="478" ht="15.75" customHeight="1">
      <c r="A478" s="21">
        <v>67.0</v>
      </c>
      <c r="B478" s="21" t="s">
        <v>1077</v>
      </c>
      <c r="C478" s="21" t="s">
        <v>74</v>
      </c>
      <c r="D478" s="21" t="s">
        <v>553</v>
      </c>
      <c r="E478" s="21" t="s">
        <v>190</v>
      </c>
      <c r="F478" s="21" t="s">
        <v>2211</v>
      </c>
    </row>
    <row r="479" ht="15.75" customHeight="1">
      <c r="A479" s="21">
        <v>68.0</v>
      </c>
      <c r="B479" s="21" t="s">
        <v>1087</v>
      </c>
      <c r="C479" s="21" t="s">
        <v>74</v>
      </c>
      <c r="D479" s="21" t="s">
        <v>553</v>
      </c>
      <c r="E479" s="21" t="s">
        <v>190</v>
      </c>
      <c r="F479" s="21" t="s">
        <v>2211</v>
      </c>
    </row>
    <row r="480" ht="15.75" customHeight="1">
      <c r="A480" s="21">
        <v>69.0</v>
      </c>
      <c r="B480" s="21" t="s">
        <v>1093</v>
      </c>
      <c r="C480" s="21" t="s">
        <v>74</v>
      </c>
      <c r="D480" s="21" t="s">
        <v>553</v>
      </c>
      <c r="E480" s="21" t="s">
        <v>190</v>
      </c>
      <c r="F480" s="21" t="s">
        <v>2211</v>
      </c>
    </row>
    <row r="481" ht="15.75" customHeight="1">
      <c r="A481" s="21">
        <v>71.0</v>
      </c>
      <c r="B481" s="21" t="s">
        <v>1104</v>
      </c>
      <c r="C481" s="21" t="s">
        <v>74</v>
      </c>
      <c r="D481" s="21" t="s">
        <v>553</v>
      </c>
      <c r="E481" s="21" t="s">
        <v>190</v>
      </c>
      <c r="F481" s="21" t="s">
        <v>2211</v>
      </c>
    </row>
    <row r="482" ht="15.75" customHeight="1">
      <c r="A482" s="21">
        <v>72.0</v>
      </c>
      <c r="B482" s="21" t="s">
        <v>1108</v>
      </c>
      <c r="C482" s="21" t="s">
        <v>74</v>
      </c>
      <c r="D482" s="21" t="s">
        <v>553</v>
      </c>
      <c r="E482" s="21" t="s">
        <v>190</v>
      </c>
      <c r="F482" s="21" t="s">
        <v>2211</v>
      </c>
    </row>
    <row r="483" ht="15.75" customHeight="1">
      <c r="A483" s="21">
        <v>74.0</v>
      </c>
      <c r="B483" s="21" t="s">
        <v>1118</v>
      </c>
      <c r="C483" s="21" t="s">
        <v>74</v>
      </c>
      <c r="D483" s="21" t="s">
        <v>553</v>
      </c>
      <c r="E483" s="21" t="s">
        <v>190</v>
      </c>
      <c r="F483" s="21" t="s">
        <v>2211</v>
      </c>
    </row>
    <row r="484" ht="15.75" customHeight="1">
      <c r="A484" s="21">
        <v>79.0</v>
      </c>
      <c r="B484" s="21" t="s">
        <v>1140</v>
      </c>
      <c r="C484" s="21" t="s">
        <v>74</v>
      </c>
      <c r="D484" s="21" t="s">
        <v>553</v>
      </c>
      <c r="E484" s="21" t="s">
        <v>190</v>
      </c>
      <c r="F484" s="21" t="s">
        <v>2211</v>
      </c>
    </row>
    <row r="485" ht="15.75" customHeight="1">
      <c r="A485" s="21">
        <v>80.0</v>
      </c>
      <c r="B485" s="21" t="s">
        <v>1143</v>
      </c>
      <c r="C485" s="21" t="s">
        <v>74</v>
      </c>
      <c r="D485" s="21" t="s">
        <v>553</v>
      </c>
      <c r="E485" s="21" t="s">
        <v>190</v>
      </c>
      <c r="F485" s="21" t="s">
        <v>2211</v>
      </c>
    </row>
    <row r="486" ht="15.75" customHeight="1">
      <c r="A486" s="21">
        <v>82.0</v>
      </c>
      <c r="B486" s="21" t="s">
        <v>1152</v>
      </c>
      <c r="C486" s="21" t="s">
        <v>74</v>
      </c>
      <c r="D486" s="21" t="s">
        <v>553</v>
      </c>
      <c r="E486" s="21" t="s">
        <v>190</v>
      </c>
      <c r="F486" s="21" t="s">
        <v>2211</v>
      </c>
    </row>
    <row r="487" ht="15.75" customHeight="1">
      <c r="A487" s="21">
        <v>83.0</v>
      </c>
      <c r="B487" s="21" t="s">
        <v>872</v>
      </c>
      <c r="C487" s="21" t="s">
        <v>74</v>
      </c>
      <c r="D487" s="21" t="s">
        <v>553</v>
      </c>
      <c r="E487" s="21" t="s">
        <v>190</v>
      </c>
      <c r="F487" s="21" t="s">
        <v>2211</v>
      </c>
    </row>
    <row r="488" ht="15.75" customHeight="1">
      <c r="A488" s="21">
        <v>84.0</v>
      </c>
      <c r="B488" s="21" t="s">
        <v>1166</v>
      </c>
      <c r="C488" s="21" t="s">
        <v>74</v>
      </c>
      <c r="D488" s="21" t="s">
        <v>553</v>
      </c>
      <c r="E488" s="21" t="s">
        <v>190</v>
      </c>
      <c r="F488" s="21" t="s">
        <v>2211</v>
      </c>
    </row>
    <row r="489" ht="15.75" customHeight="1">
      <c r="A489" s="21">
        <v>85.0</v>
      </c>
      <c r="B489" s="21" t="s">
        <v>1171</v>
      </c>
      <c r="C489" s="21" t="s">
        <v>74</v>
      </c>
      <c r="D489" s="21" t="s">
        <v>553</v>
      </c>
      <c r="E489" s="21" t="s">
        <v>190</v>
      </c>
      <c r="F489" s="21" t="s">
        <v>2211</v>
      </c>
    </row>
    <row r="490" ht="15.75" customHeight="1">
      <c r="A490" s="21">
        <v>88.0</v>
      </c>
      <c r="B490" s="21" t="s">
        <v>1187</v>
      </c>
      <c r="C490" s="21" t="s">
        <v>74</v>
      </c>
      <c r="D490" s="21" t="s">
        <v>553</v>
      </c>
      <c r="E490" s="21" t="s">
        <v>190</v>
      </c>
      <c r="F490" s="21" t="s">
        <v>2211</v>
      </c>
    </row>
    <row r="491" ht="15.75" customHeight="1">
      <c r="A491" s="21">
        <v>89.0</v>
      </c>
      <c r="B491" s="21" t="s">
        <v>1194</v>
      </c>
      <c r="C491" s="21" t="s">
        <v>74</v>
      </c>
      <c r="D491" s="21" t="s">
        <v>553</v>
      </c>
      <c r="E491" s="21" t="s">
        <v>190</v>
      </c>
      <c r="F491" s="21" t="s">
        <v>2211</v>
      </c>
    </row>
    <row r="492" ht="15.75" customHeight="1">
      <c r="A492" s="21">
        <v>91.0</v>
      </c>
      <c r="B492" s="21" t="s">
        <v>1201</v>
      </c>
      <c r="C492" s="21" t="s">
        <v>74</v>
      </c>
      <c r="D492" s="21" t="s">
        <v>553</v>
      </c>
      <c r="E492" s="21" t="s">
        <v>190</v>
      </c>
      <c r="F492" s="21" t="s">
        <v>2211</v>
      </c>
    </row>
    <row r="493" ht="15.75" customHeight="1">
      <c r="A493" s="21">
        <v>93.0</v>
      </c>
      <c r="B493" s="21" t="s">
        <v>1210</v>
      </c>
      <c r="C493" s="21" t="s">
        <v>74</v>
      </c>
      <c r="D493" s="21" t="s">
        <v>553</v>
      </c>
      <c r="E493" s="21" t="s">
        <v>190</v>
      </c>
      <c r="F493" s="21" t="s">
        <v>2211</v>
      </c>
    </row>
    <row r="494" ht="15.75" customHeight="1">
      <c r="A494" s="21">
        <v>95.0</v>
      </c>
      <c r="B494" s="21" t="s">
        <v>1221</v>
      </c>
      <c r="C494" s="21" t="s">
        <v>74</v>
      </c>
      <c r="D494" s="21" t="s">
        <v>553</v>
      </c>
      <c r="E494" s="21" t="s">
        <v>190</v>
      </c>
      <c r="F494" s="21" t="s">
        <v>2211</v>
      </c>
    </row>
    <row r="495" ht="15.75" customHeight="1">
      <c r="A495" s="21">
        <v>97.0</v>
      </c>
      <c r="B495" s="21" t="s">
        <v>1161</v>
      </c>
      <c r="C495" s="21" t="s">
        <v>74</v>
      </c>
      <c r="D495" s="21" t="s">
        <v>553</v>
      </c>
      <c r="E495" s="21" t="s">
        <v>190</v>
      </c>
      <c r="F495" s="21" t="s">
        <v>2211</v>
      </c>
    </row>
    <row r="496" ht="15.75" customHeight="1">
      <c r="A496" s="21">
        <v>98.0</v>
      </c>
      <c r="B496" s="21" t="s">
        <v>1234</v>
      </c>
      <c r="C496" s="21" t="s">
        <v>74</v>
      </c>
      <c r="D496" s="21" t="s">
        <v>553</v>
      </c>
      <c r="E496" s="21" t="s">
        <v>190</v>
      </c>
      <c r="F496" s="21" t="s">
        <v>2211</v>
      </c>
    </row>
    <row r="497" ht="15.75" customHeight="1">
      <c r="A497" s="21">
        <v>99.0</v>
      </c>
      <c r="B497" s="21" t="s">
        <v>1237</v>
      </c>
      <c r="C497" s="21" t="s">
        <v>74</v>
      </c>
      <c r="D497" s="21" t="s">
        <v>553</v>
      </c>
      <c r="E497" s="21" t="s">
        <v>190</v>
      </c>
      <c r="F497" s="21" t="s">
        <v>2211</v>
      </c>
    </row>
    <row r="498" ht="15.75" customHeight="1">
      <c r="A498" s="21">
        <v>100.0</v>
      </c>
      <c r="B498" s="21" t="s">
        <v>1240</v>
      </c>
      <c r="C498" s="21" t="s">
        <v>74</v>
      </c>
      <c r="D498" s="21" t="s">
        <v>553</v>
      </c>
      <c r="E498" s="21" t="s">
        <v>190</v>
      </c>
      <c r="F498" s="21" t="s">
        <v>2211</v>
      </c>
    </row>
    <row r="499" ht="15.75" customHeight="1">
      <c r="A499" s="21">
        <v>101.0</v>
      </c>
      <c r="B499" s="21" t="s">
        <v>1244</v>
      </c>
      <c r="C499" s="21" t="s">
        <v>74</v>
      </c>
      <c r="D499" s="21" t="s">
        <v>553</v>
      </c>
      <c r="E499" s="21" t="s">
        <v>190</v>
      </c>
      <c r="F499" s="21" t="s">
        <v>2211</v>
      </c>
    </row>
    <row r="500" ht="15.75" customHeight="1">
      <c r="A500" s="21">
        <v>102.0</v>
      </c>
      <c r="B500" s="21" t="s">
        <v>1248</v>
      </c>
      <c r="C500" s="21" t="s">
        <v>74</v>
      </c>
      <c r="D500" s="21" t="s">
        <v>553</v>
      </c>
      <c r="E500" s="21" t="s">
        <v>190</v>
      </c>
      <c r="F500" s="21" t="s">
        <v>2211</v>
      </c>
    </row>
    <row r="501" ht="15.75" customHeight="1">
      <c r="A501" s="21">
        <v>104.0</v>
      </c>
      <c r="B501" s="21" t="s">
        <v>1259</v>
      </c>
      <c r="C501" s="21" t="s">
        <v>74</v>
      </c>
      <c r="D501" s="21" t="s">
        <v>553</v>
      </c>
      <c r="E501" s="21" t="s">
        <v>190</v>
      </c>
      <c r="F501" s="21" t="s">
        <v>2211</v>
      </c>
    </row>
    <row r="502" ht="15.75" customHeight="1">
      <c r="A502" s="21">
        <v>105.0</v>
      </c>
      <c r="B502" s="21" t="s">
        <v>1262</v>
      </c>
      <c r="C502" s="21" t="s">
        <v>74</v>
      </c>
      <c r="D502" s="21" t="s">
        <v>553</v>
      </c>
      <c r="E502" s="21" t="s">
        <v>190</v>
      </c>
      <c r="F502" s="21" t="s">
        <v>2211</v>
      </c>
    </row>
    <row r="503" ht="15.75" customHeight="1">
      <c r="A503" s="21">
        <v>106.0</v>
      </c>
      <c r="B503" s="21" t="s">
        <v>1265</v>
      </c>
      <c r="C503" s="21" t="s">
        <v>74</v>
      </c>
      <c r="D503" s="21" t="s">
        <v>553</v>
      </c>
      <c r="E503" s="21" t="s">
        <v>190</v>
      </c>
      <c r="F503" s="21" t="s">
        <v>2211</v>
      </c>
    </row>
    <row r="504" ht="15.75" customHeight="1">
      <c r="A504" s="21">
        <v>107.0</v>
      </c>
      <c r="B504" s="21" t="s">
        <v>1274</v>
      </c>
      <c r="C504" s="21" t="s">
        <v>74</v>
      </c>
      <c r="D504" s="21" t="s">
        <v>553</v>
      </c>
      <c r="E504" s="21" t="s">
        <v>190</v>
      </c>
      <c r="F504" s="21" t="s">
        <v>2211</v>
      </c>
    </row>
    <row r="505" ht="15.75" customHeight="1">
      <c r="A505" s="21">
        <v>108.0</v>
      </c>
      <c r="B505" s="21" t="s">
        <v>1281</v>
      </c>
      <c r="C505" s="21" t="s">
        <v>74</v>
      </c>
      <c r="D505" s="21" t="s">
        <v>553</v>
      </c>
      <c r="E505" s="21" t="s">
        <v>190</v>
      </c>
      <c r="F505" s="21" t="s">
        <v>2211</v>
      </c>
    </row>
    <row r="506" ht="15.75" customHeight="1">
      <c r="A506" s="21">
        <v>17.0</v>
      </c>
      <c r="B506" s="21" t="s">
        <v>519</v>
      </c>
      <c r="C506" s="21" t="s">
        <v>76</v>
      </c>
      <c r="D506" s="21" t="s">
        <v>2212</v>
      </c>
      <c r="E506" s="21" t="s">
        <v>2213</v>
      </c>
      <c r="F506" s="21" t="s">
        <v>2214</v>
      </c>
    </row>
    <row r="507" ht="15.75" customHeight="1">
      <c r="A507" s="5"/>
      <c r="B507" s="5"/>
      <c r="C507" s="5"/>
      <c r="D507" s="5"/>
      <c r="E507" s="5"/>
      <c r="F507" s="5"/>
    </row>
    <row r="508" ht="15.75" customHeight="1">
      <c r="A508" s="5"/>
      <c r="B508" s="5"/>
      <c r="C508" s="5"/>
      <c r="D508" s="5"/>
      <c r="E508" s="5"/>
      <c r="F508" s="5"/>
    </row>
    <row r="509" ht="15.75" customHeight="1">
      <c r="A509" s="5"/>
      <c r="B509" s="5"/>
      <c r="C509" s="5"/>
      <c r="D509" s="5"/>
      <c r="E509" s="5"/>
      <c r="F509" s="5"/>
    </row>
    <row r="510" ht="15.75" customHeight="1">
      <c r="A510" s="5"/>
      <c r="B510" s="5"/>
      <c r="C510" s="5"/>
      <c r="D510" s="5"/>
      <c r="E510" s="5"/>
      <c r="F510" s="5"/>
    </row>
    <row r="511" ht="15.75" customHeight="1">
      <c r="A511" s="5"/>
      <c r="B511" s="5"/>
      <c r="C511" s="5"/>
      <c r="D511" s="5"/>
      <c r="E511" s="5"/>
      <c r="F511" s="5"/>
    </row>
    <row r="512" ht="15.75" customHeight="1">
      <c r="A512" s="5"/>
      <c r="B512" s="5"/>
      <c r="C512" s="5"/>
      <c r="D512" s="5"/>
      <c r="E512" s="5"/>
      <c r="F512" s="5"/>
    </row>
    <row r="513" ht="15.75" customHeight="1">
      <c r="A513" s="5"/>
      <c r="B513" s="5"/>
      <c r="C513" s="5"/>
      <c r="D513" s="5"/>
      <c r="E513" s="5"/>
      <c r="F513" s="5"/>
    </row>
    <row r="514" ht="15.75" customHeight="1">
      <c r="A514" s="5"/>
      <c r="B514" s="5"/>
      <c r="C514" s="5"/>
      <c r="D514" s="5"/>
      <c r="E514" s="5"/>
      <c r="F514" s="5"/>
    </row>
    <row r="515" ht="15.75" customHeight="1">
      <c r="A515" s="5"/>
      <c r="B515" s="5"/>
      <c r="C515" s="5"/>
      <c r="D515" s="5"/>
      <c r="E515" s="5"/>
      <c r="F515" s="5"/>
    </row>
    <row r="516" ht="15.75" customHeight="1">
      <c r="A516" s="5"/>
      <c r="B516" s="5"/>
      <c r="C516" s="5"/>
      <c r="D516" s="5"/>
      <c r="E516" s="5"/>
      <c r="F516" s="5"/>
    </row>
    <row r="517" ht="15.75" customHeight="1">
      <c r="A517" s="5"/>
      <c r="B517" s="5"/>
      <c r="C517" s="5"/>
      <c r="D517" s="5"/>
      <c r="E517" s="5"/>
      <c r="F517" s="5"/>
    </row>
    <row r="518" ht="15.75" customHeight="1">
      <c r="A518" s="5"/>
      <c r="B518" s="5"/>
      <c r="C518" s="5"/>
      <c r="D518" s="5"/>
      <c r="E518" s="5"/>
      <c r="F518" s="5"/>
    </row>
    <row r="519" ht="15.75" customHeight="1">
      <c r="A519" s="5"/>
      <c r="B519" s="5"/>
      <c r="C519" s="5"/>
      <c r="D519" s="5"/>
      <c r="E519" s="5"/>
      <c r="F519" s="5"/>
    </row>
    <row r="520" ht="15.75" customHeight="1">
      <c r="A520" s="5"/>
      <c r="B520" s="5"/>
      <c r="C520" s="5"/>
      <c r="D520" s="5"/>
      <c r="E520" s="5"/>
      <c r="F520" s="5"/>
    </row>
    <row r="521" ht="15.75" customHeight="1">
      <c r="A521" s="5"/>
      <c r="B521" s="5"/>
      <c r="C521" s="5"/>
      <c r="D521" s="5"/>
      <c r="E521" s="5"/>
      <c r="F521" s="5"/>
    </row>
    <row r="522" ht="15.75" customHeight="1">
      <c r="A522" s="5"/>
      <c r="B522" s="5"/>
      <c r="C522" s="5"/>
      <c r="D522" s="5"/>
      <c r="E522" s="5"/>
      <c r="F522" s="5"/>
    </row>
    <row r="523" ht="15.75" customHeight="1">
      <c r="A523" s="5"/>
      <c r="B523" s="5"/>
      <c r="C523" s="5"/>
      <c r="D523" s="5"/>
      <c r="E523" s="5"/>
      <c r="F523" s="5"/>
    </row>
    <row r="524" ht="15.75" customHeight="1">
      <c r="A524" s="5"/>
      <c r="B524" s="5"/>
      <c r="C524" s="5"/>
      <c r="D524" s="5"/>
      <c r="E524" s="5"/>
      <c r="F524" s="5"/>
    </row>
    <row r="525" ht="15.75" customHeight="1">
      <c r="A525" s="5"/>
      <c r="B525" s="5"/>
      <c r="C525" s="5"/>
      <c r="D525" s="5"/>
      <c r="E525" s="5"/>
      <c r="F525" s="5"/>
    </row>
    <row r="526" ht="15.75" customHeight="1">
      <c r="A526" s="5"/>
      <c r="B526" s="5"/>
      <c r="C526" s="5"/>
      <c r="D526" s="5"/>
      <c r="E526" s="5"/>
      <c r="F526" s="5"/>
    </row>
    <row r="527" ht="15.75" customHeight="1">
      <c r="A527" s="5"/>
      <c r="B527" s="5"/>
      <c r="C527" s="5"/>
      <c r="D527" s="5"/>
      <c r="E527" s="5"/>
      <c r="F527" s="5"/>
    </row>
    <row r="528" ht="15.75" customHeight="1">
      <c r="A528" s="5"/>
      <c r="B528" s="5"/>
      <c r="C528" s="5"/>
      <c r="D528" s="5"/>
      <c r="E528" s="5"/>
      <c r="F528" s="5"/>
    </row>
    <row r="529" ht="15.75" customHeight="1">
      <c r="A529" s="5"/>
      <c r="B529" s="5"/>
      <c r="C529" s="5"/>
      <c r="D529" s="5"/>
      <c r="E529" s="5"/>
      <c r="F529" s="5"/>
    </row>
    <row r="530" ht="15.75" customHeight="1">
      <c r="A530" s="5"/>
      <c r="B530" s="5"/>
      <c r="C530" s="5"/>
      <c r="D530" s="5"/>
      <c r="E530" s="5"/>
      <c r="F530" s="5"/>
    </row>
    <row r="531" ht="15.75" customHeight="1">
      <c r="A531" s="5"/>
      <c r="B531" s="5"/>
      <c r="C531" s="5"/>
      <c r="D531" s="5"/>
      <c r="E531" s="5"/>
      <c r="F531" s="5"/>
    </row>
    <row r="532" ht="15.75" customHeight="1">
      <c r="A532" s="5"/>
      <c r="B532" s="5"/>
      <c r="C532" s="5"/>
      <c r="D532" s="5"/>
      <c r="E532" s="5"/>
      <c r="F532" s="5"/>
    </row>
    <row r="533" ht="15.75" customHeight="1">
      <c r="A533" s="5"/>
      <c r="B533" s="5"/>
      <c r="C533" s="5"/>
      <c r="D533" s="5"/>
      <c r="E533" s="5"/>
      <c r="F533" s="5"/>
    </row>
    <row r="534" ht="15.75" customHeight="1">
      <c r="A534" s="5"/>
      <c r="B534" s="5"/>
      <c r="C534" s="5"/>
      <c r="D534" s="5"/>
      <c r="E534" s="5"/>
      <c r="F534" s="5"/>
    </row>
    <row r="535" ht="15.75" customHeight="1">
      <c r="A535" s="5"/>
      <c r="B535" s="5"/>
      <c r="C535" s="5"/>
      <c r="D535" s="5"/>
      <c r="E535" s="5"/>
      <c r="F535" s="5"/>
    </row>
    <row r="536" ht="15.75" customHeight="1">
      <c r="A536" s="5"/>
      <c r="B536" s="5"/>
      <c r="C536" s="5"/>
      <c r="D536" s="5"/>
      <c r="E536" s="5"/>
      <c r="F536" s="5"/>
    </row>
    <row r="537" ht="15.75" customHeight="1">
      <c r="A537" s="5"/>
      <c r="B537" s="5"/>
      <c r="C537" s="5"/>
      <c r="D537" s="5"/>
      <c r="E537" s="5"/>
      <c r="F537" s="5"/>
    </row>
    <row r="538" ht="15.75" customHeight="1">
      <c r="A538" s="5"/>
      <c r="B538" s="5"/>
      <c r="C538" s="5"/>
      <c r="D538" s="5"/>
      <c r="E538" s="5"/>
      <c r="F538" s="5"/>
    </row>
    <row r="539" ht="15.75" customHeight="1">
      <c r="A539" s="5"/>
      <c r="B539" s="5"/>
      <c r="C539" s="5"/>
      <c r="D539" s="5"/>
      <c r="E539" s="5"/>
      <c r="F539" s="5"/>
    </row>
    <row r="540" ht="15.75" customHeight="1">
      <c r="A540" s="5"/>
      <c r="B540" s="5"/>
      <c r="C540" s="5"/>
      <c r="D540" s="5"/>
      <c r="E540" s="5"/>
      <c r="F540" s="5"/>
    </row>
    <row r="541" ht="15.75" customHeight="1">
      <c r="A541" s="5"/>
      <c r="B541" s="5"/>
      <c r="C541" s="5"/>
      <c r="D541" s="5"/>
      <c r="E541" s="5"/>
      <c r="F541" s="5"/>
    </row>
    <row r="542" ht="15.75" customHeight="1">
      <c r="A542" s="5"/>
      <c r="B542" s="5"/>
      <c r="C542" s="5"/>
      <c r="D542" s="5"/>
      <c r="E542" s="5"/>
      <c r="F542" s="5"/>
    </row>
    <row r="543" ht="15.75" customHeight="1">
      <c r="A543" s="5"/>
      <c r="B543" s="5"/>
      <c r="C543" s="5"/>
      <c r="D543" s="5"/>
      <c r="E543" s="5"/>
      <c r="F543" s="5"/>
    </row>
    <row r="544" ht="15.75" customHeight="1">
      <c r="A544" s="5"/>
      <c r="B544" s="5"/>
      <c r="C544" s="5"/>
      <c r="D544" s="5"/>
      <c r="E544" s="5"/>
      <c r="F544" s="5"/>
    </row>
    <row r="545" ht="15.75" customHeight="1">
      <c r="A545" s="5"/>
      <c r="B545" s="5"/>
      <c r="C545" s="5"/>
      <c r="D545" s="5"/>
      <c r="E545" s="5"/>
      <c r="F545" s="5"/>
    </row>
    <row r="546" ht="15.75" customHeight="1">
      <c r="A546" s="5"/>
      <c r="B546" s="5"/>
      <c r="C546" s="5"/>
      <c r="D546" s="5"/>
      <c r="E546" s="5"/>
      <c r="F546" s="5"/>
    </row>
    <row r="547" ht="15.75" customHeight="1">
      <c r="A547" s="5"/>
      <c r="B547" s="5"/>
      <c r="C547" s="5"/>
      <c r="D547" s="5"/>
      <c r="E547" s="5"/>
      <c r="F547" s="5"/>
    </row>
    <row r="548" ht="15.75" customHeight="1">
      <c r="A548" s="5"/>
      <c r="B548" s="5"/>
      <c r="C548" s="5"/>
      <c r="D548" s="5"/>
      <c r="E548" s="5"/>
      <c r="F548" s="5"/>
    </row>
    <row r="549" ht="15.75" customHeight="1">
      <c r="A549" s="5"/>
      <c r="B549" s="5"/>
      <c r="C549" s="5"/>
      <c r="D549" s="5"/>
      <c r="E549" s="5"/>
      <c r="F549" s="5"/>
    </row>
    <row r="550" ht="15.75" customHeight="1">
      <c r="A550" s="5"/>
      <c r="B550" s="5"/>
      <c r="C550" s="5"/>
      <c r="D550" s="5"/>
      <c r="E550" s="5"/>
      <c r="F550" s="5"/>
    </row>
    <row r="551" ht="15.75" customHeight="1">
      <c r="A551" s="5"/>
      <c r="B551" s="5"/>
      <c r="C551" s="5"/>
      <c r="D551" s="5"/>
      <c r="E551" s="5"/>
      <c r="F551" s="5"/>
    </row>
    <row r="552" ht="15.75" customHeight="1">
      <c r="A552" s="5"/>
      <c r="B552" s="5"/>
      <c r="C552" s="5"/>
      <c r="D552" s="5"/>
      <c r="E552" s="5"/>
      <c r="F552" s="5"/>
    </row>
    <row r="553" ht="15.75" customHeight="1">
      <c r="A553" s="5"/>
      <c r="B553" s="5"/>
      <c r="C553" s="5"/>
      <c r="D553" s="5"/>
      <c r="E553" s="5"/>
      <c r="F553" s="5"/>
    </row>
    <row r="554" ht="15.75" customHeight="1">
      <c r="A554" s="5"/>
      <c r="B554" s="5"/>
      <c r="C554" s="5"/>
      <c r="D554" s="5"/>
      <c r="E554" s="5"/>
      <c r="F554" s="5"/>
    </row>
    <row r="555" ht="15.75" customHeight="1">
      <c r="A555" s="5"/>
      <c r="B555" s="5"/>
      <c r="C555" s="5"/>
      <c r="D555" s="5"/>
      <c r="E555" s="5"/>
      <c r="F555" s="5"/>
    </row>
    <row r="556" ht="15.75" customHeight="1">
      <c r="A556" s="5"/>
      <c r="B556" s="5"/>
      <c r="C556" s="5"/>
      <c r="D556" s="5"/>
      <c r="E556" s="5"/>
      <c r="F556" s="5"/>
    </row>
    <row r="557" ht="15.75" customHeight="1">
      <c r="A557" s="5"/>
      <c r="B557" s="5"/>
      <c r="C557" s="5"/>
      <c r="D557" s="5"/>
      <c r="E557" s="5"/>
      <c r="F557" s="5"/>
    </row>
    <row r="558" ht="15.75" customHeight="1">
      <c r="A558" s="5"/>
      <c r="B558" s="5"/>
      <c r="C558" s="5"/>
      <c r="D558" s="5"/>
      <c r="E558" s="5"/>
      <c r="F558" s="5"/>
    </row>
    <row r="559" ht="15.75" customHeight="1">
      <c r="A559" s="5"/>
      <c r="B559" s="5"/>
      <c r="C559" s="5"/>
      <c r="D559" s="5"/>
      <c r="E559" s="5"/>
      <c r="F559" s="5"/>
    </row>
    <row r="560" ht="15.75" customHeight="1">
      <c r="A560" s="5"/>
      <c r="B560" s="5"/>
      <c r="C560" s="5"/>
      <c r="D560" s="5"/>
      <c r="E560" s="5"/>
      <c r="F560" s="5"/>
    </row>
    <row r="561" ht="15.75" customHeight="1">
      <c r="A561" s="5"/>
      <c r="B561" s="5"/>
      <c r="C561" s="5"/>
      <c r="D561" s="5"/>
      <c r="E561" s="5"/>
      <c r="F561" s="5"/>
    </row>
    <row r="562" ht="15.75" customHeight="1">
      <c r="A562" s="5"/>
      <c r="B562" s="5"/>
      <c r="C562" s="5"/>
      <c r="D562" s="5"/>
      <c r="E562" s="5"/>
      <c r="F562" s="5"/>
    </row>
    <row r="563" ht="15.75" customHeight="1">
      <c r="A563" s="5"/>
      <c r="B563" s="5"/>
      <c r="C563" s="5"/>
      <c r="D563" s="5"/>
      <c r="E563" s="5"/>
      <c r="F563" s="5"/>
    </row>
    <row r="564" ht="15.75" customHeight="1">
      <c r="A564" s="5"/>
      <c r="B564" s="5"/>
      <c r="C564" s="5"/>
      <c r="D564" s="5"/>
      <c r="E564" s="5"/>
      <c r="F564" s="5"/>
    </row>
    <row r="565" ht="15.75" customHeight="1">
      <c r="A565" s="5"/>
      <c r="B565" s="5"/>
      <c r="C565" s="5"/>
      <c r="D565" s="5"/>
      <c r="E565" s="5"/>
      <c r="F565" s="5"/>
    </row>
    <row r="566" ht="15.75" customHeight="1">
      <c r="A566" s="5"/>
      <c r="B566" s="5"/>
      <c r="C566" s="5"/>
      <c r="D566" s="5"/>
      <c r="E566" s="5"/>
      <c r="F566" s="5"/>
    </row>
    <row r="567" ht="15.75" customHeight="1">
      <c r="A567" s="5"/>
      <c r="B567" s="5"/>
      <c r="C567" s="5"/>
      <c r="D567" s="5"/>
      <c r="E567" s="5"/>
      <c r="F567" s="5"/>
    </row>
    <row r="568" ht="15.75" customHeight="1">
      <c r="A568" s="5"/>
      <c r="B568" s="5"/>
      <c r="C568" s="5"/>
      <c r="D568" s="5"/>
      <c r="E568" s="5"/>
      <c r="F568" s="5"/>
    </row>
    <row r="569" ht="15.75" customHeight="1">
      <c r="A569" s="5"/>
      <c r="B569" s="5"/>
      <c r="C569" s="5"/>
      <c r="D569" s="5"/>
      <c r="E569" s="5"/>
      <c r="F569" s="5"/>
    </row>
    <row r="570" ht="15.75" customHeight="1">
      <c r="A570" s="5"/>
      <c r="B570" s="5"/>
      <c r="C570" s="5"/>
      <c r="D570" s="5"/>
      <c r="E570" s="5"/>
      <c r="F570" s="5"/>
    </row>
    <row r="571" ht="15.75" customHeight="1">
      <c r="A571" s="5"/>
      <c r="B571" s="5"/>
      <c r="C571" s="5"/>
      <c r="D571" s="5"/>
      <c r="E571" s="5"/>
      <c r="F571" s="5"/>
    </row>
    <row r="572" ht="15.75" customHeight="1">
      <c r="A572" s="5"/>
      <c r="B572" s="5"/>
      <c r="C572" s="5"/>
      <c r="D572" s="5"/>
      <c r="E572" s="5"/>
      <c r="F572" s="5"/>
    </row>
    <row r="573" ht="15.75" customHeight="1">
      <c r="A573" s="5"/>
      <c r="B573" s="5"/>
      <c r="C573" s="5"/>
      <c r="D573" s="5"/>
      <c r="E573" s="5"/>
      <c r="F573" s="5"/>
    </row>
    <row r="574" ht="15.75" customHeight="1">
      <c r="A574" s="5"/>
      <c r="B574" s="5"/>
      <c r="C574" s="5"/>
      <c r="D574" s="5"/>
      <c r="E574" s="5"/>
      <c r="F574" s="5"/>
    </row>
    <row r="575" ht="15.75" customHeight="1">
      <c r="A575" s="5"/>
      <c r="B575" s="5"/>
      <c r="C575" s="5"/>
      <c r="D575" s="5"/>
      <c r="E575" s="5"/>
      <c r="F575" s="5"/>
    </row>
    <row r="576" ht="15.75" customHeight="1">
      <c r="A576" s="5"/>
      <c r="B576" s="5"/>
      <c r="C576" s="5"/>
      <c r="D576" s="5"/>
      <c r="E576" s="5"/>
      <c r="F576" s="5"/>
    </row>
    <row r="577" ht="15.75" customHeight="1">
      <c r="A577" s="5"/>
      <c r="B577" s="5"/>
      <c r="C577" s="5"/>
      <c r="D577" s="5"/>
      <c r="E577" s="5"/>
      <c r="F577" s="5"/>
    </row>
    <row r="578" ht="15.75" customHeight="1">
      <c r="A578" s="5"/>
      <c r="B578" s="5"/>
      <c r="C578" s="5"/>
      <c r="D578" s="5"/>
      <c r="E578" s="5"/>
      <c r="F578" s="5"/>
    </row>
    <row r="579" ht="15.75" customHeight="1">
      <c r="A579" s="5"/>
      <c r="B579" s="5"/>
      <c r="C579" s="5"/>
      <c r="D579" s="5"/>
      <c r="E579" s="5"/>
      <c r="F579" s="5"/>
    </row>
    <row r="580" ht="15.75" customHeight="1">
      <c r="A580" s="5"/>
      <c r="B580" s="5"/>
      <c r="C580" s="5"/>
      <c r="D580" s="5"/>
      <c r="E580" s="5"/>
      <c r="F580" s="5"/>
    </row>
    <row r="581" ht="15.75" customHeight="1">
      <c r="A581" s="5"/>
      <c r="B581" s="5"/>
      <c r="C581" s="5"/>
      <c r="D581" s="5"/>
      <c r="E581" s="5"/>
      <c r="F581" s="5"/>
    </row>
    <row r="582" ht="15.75" customHeight="1">
      <c r="A582" s="5"/>
      <c r="B582" s="5"/>
      <c r="C582" s="5"/>
      <c r="D582" s="5"/>
      <c r="E582" s="5"/>
      <c r="F582" s="5"/>
    </row>
    <row r="583" ht="15.75" customHeight="1">
      <c r="A583" s="5"/>
      <c r="B583" s="5"/>
      <c r="C583" s="5"/>
      <c r="D583" s="5"/>
      <c r="E583" s="5"/>
      <c r="F583" s="5"/>
    </row>
    <row r="584" ht="15.75" customHeight="1">
      <c r="A584" s="5"/>
      <c r="B584" s="5"/>
      <c r="C584" s="5"/>
      <c r="D584" s="5"/>
      <c r="E584" s="5"/>
      <c r="F584" s="5"/>
    </row>
    <row r="585" ht="15.75" customHeight="1">
      <c r="A585" s="5"/>
      <c r="B585" s="5"/>
      <c r="C585" s="5"/>
      <c r="D585" s="5"/>
      <c r="E585" s="5"/>
      <c r="F585" s="5"/>
    </row>
    <row r="586" ht="15.75" customHeight="1">
      <c r="A586" s="5"/>
      <c r="B586" s="5"/>
      <c r="C586" s="5"/>
      <c r="D586" s="5"/>
      <c r="E586" s="5"/>
      <c r="F586" s="5"/>
    </row>
    <row r="587" ht="15.75" customHeight="1">
      <c r="A587" s="5"/>
      <c r="B587" s="5"/>
      <c r="C587" s="5"/>
      <c r="D587" s="5"/>
      <c r="E587" s="5"/>
      <c r="F587" s="5"/>
    </row>
    <row r="588" ht="15.75" customHeight="1">
      <c r="A588" s="5"/>
      <c r="B588" s="5"/>
      <c r="C588" s="5"/>
      <c r="D588" s="5"/>
      <c r="E588" s="5"/>
      <c r="F588" s="5"/>
    </row>
    <row r="589" ht="15.75" customHeight="1">
      <c r="A589" s="5"/>
      <c r="B589" s="5"/>
      <c r="C589" s="5"/>
      <c r="D589" s="5"/>
      <c r="E589" s="5"/>
      <c r="F589" s="5"/>
    </row>
    <row r="590" ht="15.75" customHeight="1">
      <c r="A590" s="5"/>
      <c r="B590" s="5"/>
      <c r="C590" s="5"/>
      <c r="D590" s="5"/>
      <c r="E590" s="5"/>
      <c r="F590" s="5"/>
    </row>
    <row r="591" ht="15.75" customHeight="1">
      <c r="A591" s="5"/>
      <c r="B591" s="5"/>
      <c r="C591" s="5"/>
      <c r="D591" s="5"/>
      <c r="E591" s="5"/>
      <c r="F591" s="5"/>
    </row>
    <row r="592" ht="15.75" customHeight="1">
      <c r="A592" s="5"/>
      <c r="B592" s="5"/>
      <c r="C592" s="5"/>
      <c r="D592" s="5"/>
      <c r="E592" s="5"/>
      <c r="F592" s="5"/>
    </row>
    <row r="593" ht="15.75" customHeight="1">
      <c r="A593" s="5"/>
      <c r="B593" s="5"/>
      <c r="C593" s="5"/>
      <c r="D593" s="5"/>
      <c r="E593" s="5"/>
      <c r="F593" s="5"/>
    </row>
    <row r="594" ht="15.75" customHeight="1">
      <c r="A594" s="5"/>
      <c r="B594" s="5"/>
      <c r="C594" s="5"/>
      <c r="D594" s="5"/>
      <c r="E594" s="5"/>
      <c r="F594" s="5"/>
    </row>
    <row r="595" ht="15.75" customHeight="1">
      <c r="A595" s="5"/>
      <c r="B595" s="5"/>
      <c r="C595" s="5"/>
      <c r="D595" s="5"/>
      <c r="E595" s="5"/>
      <c r="F595" s="5"/>
    </row>
    <row r="596" ht="15.75" customHeight="1">
      <c r="A596" s="5"/>
      <c r="B596" s="5"/>
      <c r="C596" s="5"/>
      <c r="D596" s="5"/>
      <c r="E596" s="5"/>
      <c r="F596" s="5"/>
    </row>
    <row r="597" ht="15.75" customHeight="1">
      <c r="A597" s="5"/>
      <c r="B597" s="5"/>
      <c r="C597" s="5"/>
      <c r="D597" s="5"/>
      <c r="E597" s="5"/>
      <c r="F597" s="5"/>
    </row>
    <row r="598" ht="15.75" customHeight="1">
      <c r="A598" s="5"/>
      <c r="B598" s="5"/>
      <c r="C598" s="5"/>
      <c r="D598" s="5"/>
      <c r="E598" s="5"/>
      <c r="F598" s="5"/>
    </row>
    <row r="599" ht="15.75" customHeight="1">
      <c r="A599" s="5"/>
      <c r="B599" s="5"/>
      <c r="C599" s="5"/>
      <c r="D599" s="5"/>
      <c r="E599" s="5"/>
      <c r="F599" s="5"/>
    </row>
    <row r="600" ht="15.75" customHeight="1">
      <c r="A600" s="5"/>
      <c r="B600" s="5"/>
      <c r="C600" s="5"/>
      <c r="D600" s="5"/>
      <c r="E600" s="5"/>
      <c r="F600" s="5"/>
    </row>
    <row r="601" ht="15.75" customHeight="1">
      <c r="A601" s="5"/>
      <c r="B601" s="5"/>
      <c r="C601" s="5"/>
      <c r="D601" s="5"/>
      <c r="E601" s="5"/>
      <c r="F601" s="5"/>
    </row>
    <row r="602" ht="15.75" customHeight="1">
      <c r="A602" s="5"/>
      <c r="B602" s="5"/>
      <c r="C602" s="5"/>
      <c r="D602" s="5"/>
      <c r="E602" s="5"/>
      <c r="F602" s="5"/>
    </row>
    <row r="603" ht="15.75" customHeight="1">
      <c r="A603" s="5"/>
      <c r="B603" s="5"/>
      <c r="C603" s="5"/>
      <c r="D603" s="5"/>
      <c r="E603" s="5"/>
      <c r="F603" s="5"/>
    </row>
    <row r="604" ht="15.75" customHeight="1">
      <c r="A604" s="5"/>
      <c r="B604" s="5"/>
      <c r="C604" s="5"/>
      <c r="D604" s="5"/>
      <c r="E604" s="5"/>
      <c r="F604" s="5"/>
    </row>
    <row r="605" ht="15.75" customHeight="1">
      <c r="A605" s="5"/>
      <c r="B605" s="5"/>
      <c r="C605" s="5"/>
      <c r="D605" s="5"/>
      <c r="E605" s="5"/>
      <c r="F605" s="5"/>
    </row>
    <row r="606" ht="15.75" customHeight="1">
      <c r="A606" s="5"/>
      <c r="B606" s="5"/>
      <c r="C606" s="5"/>
      <c r="D606" s="5"/>
      <c r="E606" s="5"/>
      <c r="F606" s="5"/>
    </row>
    <row r="607" ht="15.75" customHeight="1">
      <c r="A607" s="5"/>
      <c r="B607" s="5"/>
      <c r="C607" s="5"/>
      <c r="D607" s="5"/>
      <c r="E607" s="5"/>
      <c r="F607" s="5"/>
    </row>
    <row r="608" ht="15.75" customHeight="1">
      <c r="A608" s="5"/>
      <c r="B608" s="5"/>
      <c r="C608" s="5"/>
      <c r="D608" s="5"/>
      <c r="E608" s="5"/>
      <c r="F608" s="5"/>
    </row>
    <row r="609" ht="15.75" customHeight="1">
      <c r="A609" s="5"/>
      <c r="B609" s="5"/>
      <c r="C609" s="5"/>
      <c r="D609" s="5"/>
      <c r="E609" s="5"/>
      <c r="F609" s="5"/>
    </row>
    <row r="610" ht="15.75" customHeight="1">
      <c r="A610" s="5"/>
      <c r="B610" s="5"/>
      <c r="C610" s="5"/>
      <c r="D610" s="5"/>
      <c r="E610" s="5"/>
      <c r="F610" s="5"/>
    </row>
    <row r="611" ht="15.75" customHeight="1">
      <c r="A611" s="5"/>
      <c r="B611" s="5"/>
      <c r="C611" s="5"/>
      <c r="D611" s="5"/>
      <c r="E611" s="5"/>
      <c r="F611" s="5"/>
    </row>
    <row r="612" ht="15.75" customHeight="1">
      <c r="A612" s="5"/>
      <c r="B612" s="5"/>
      <c r="C612" s="5"/>
      <c r="D612" s="5"/>
      <c r="E612" s="5"/>
      <c r="F612" s="5"/>
    </row>
    <row r="613" ht="15.75" customHeight="1">
      <c r="A613" s="5"/>
      <c r="B613" s="5"/>
      <c r="C613" s="5"/>
      <c r="D613" s="5"/>
      <c r="E613" s="5"/>
      <c r="F613" s="5"/>
    </row>
    <row r="614" ht="15.75" customHeight="1">
      <c r="A614" s="5"/>
      <c r="B614" s="5"/>
      <c r="C614" s="5"/>
      <c r="D614" s="5"/>
      <c r="E614" s="5"/>
      <c r="F614" s="5"/>
    </row>
    <row r="615" ht="15.75" customHeight="1">
      <c r="A615" s="5"/>
      <c r="B615" s="5"/>
      <c r="C615" s="5"/>
      <c r="D615" s="5"/>
      <c r="E615" s="5"/>
      <c r="F615" s="5"/>
    </row>
    <row r="616" ht="15.75" customHeight="1">
      <c r="A616" s="5"/>
      <c r="B616" s="5"/>
      <c r="C616" s="5"/>
      <c r="D616" s="5"/>
      <c r="E616" s="5"/>
      <c r="F616" s="5"/>
    </row>
    <row r="617" ht="15.75" customHeight="1">
      <c r="A617" s="5"/>
      <c r="B617" s="5"/>
      <c r="C617" s="5"/>
      <c r="D617" s="5"/>
      <c r="E617" s="5"/>
      <c r="F617" s="5"/>
    </row>
    <row r="618" ht="15.75" customHeight="1">
      <c r="A618" s="5"/>
      <c r="B618" s="5"/>
      <c r="C618" s="5"/>
      <c r="D618" s="5"/>
      <c r="E618" s="5"/>
      <c r="F618" s="5"/>
    </row>
    <row r="619" ht="15.75" customHeight="1">
      <c r="A619" s="5"/>
      <c r="B619" s="5"/>
      <c r="C619" s="5"/>
      <c r="D619" s="5"/>
      <c r="E619" s="5"/>
      <c r="F619" s="5"/>
    </row>
    <row r="620" ht="15.75" customHeight="1">
      <c r="A620" s="5"/>
      <c r="B620" s="5"/>
      <c r="C620" s="5"/>
      <c r="D620" s="5"/>
      <c r="E620" s="5"/>
      <c r="F620" s="5"/>
    </row>
    <row r="621" ht="15.75" customHeight="1">
      <c r="A621" s="5"/>
      <c r="B621" s="5"/>
      <c r="C621" s="5"/>
      <c r="D621" s="5"/>
      <c r="E621" s="5"/>
      <c r="F621" s="5"/>
    </row>
    <row r="622" ht="15.75" customHeight="1">
      <c r="A622" s="5"/>
      <c r="B622" s="5"/>
      <c r="C622" s="5"/>
      <c r="D622" s="5"/>
      <c r="E622" s="5"/>
      <c r="F622" s="5"/>
    </row>
    <row r="623" ht="15.75" customHeight="1">
      <c r="A623" s="5"/>
      <c r="B623" s="5"/>
      <c r="C623" s="5"/>
      <c r="D623" s="5"/>
      <c r="E623" s="5"/>
      <c r="F623" s="5"/>
    </row>
    <row r="624" ht="15.75" customHeight="1">
      <c r="A624" s="5"/>
      <c r="B624" s="5"/>
      <c r="C624" s="5"/>
      <c r="D624" s="5"/>
      <c r="E624" s="5"/>
      <c r="F624" s="5"/>
    </row>
    <row r="625" ht="15.75" customHeight="1">
      <c r="A625" s="5"/>
      <c r="B625" s="5"/>
      <c r="C625" s="5"/>
      <c r="D625" s="5"/>
      <c r="E625" s="5"/>
      <c r="F625" s="5"/>
    </row>
    <row r="626" ht="15.75" customHeight="1">
      <c r="A626" s="5"/>
      <c r="B626" s="5"/>
      <c r="C626" s="5"/>
      <c r="D626" s="5"/>
      <c r="E626" s="5"/>
      <c r="F626" s="5"/>
    </row>
    <row r="627" ht="15.75" customHeight="1">
      <c r="A627" s="5"/>
      <c r="B627" s="5"/>
      <c r="C627" s="5"/>
      <c r="D627" s="5"/>
      <c r="E627" s="5"/>
      <c r="F627" s="5"/>
    </row>
    <row r="628" ht="15.75" customHeight="1">
      <c r="A628" s="5"/>
      <c r="B628" s="5"/>
      <c r="C628" s="5"/>
      <c r="D628" s="5"/>
      <c r="E628" s="5"/>
      <c r="F628" s="5"/>
    </row>
    <row r="629" ht="15.75" customHeight="1">
      <c r="A629" s="5"/>
      <c r="B629" s="5"/>
      <c r="C629" s="5"/>
      <c r="D629" s="5"/>
      <c r="E629" s="5"/>
      <c r="F629" s="5"/>
    </row>
    <row r="630" ht="15.75" customHeight="1">
      <c r="A630" s="5"/>
      <c r="B630" s="5"/>
      <c r="C630" s="5"/>
      <c r="D630" s="5"/>
      <c r="E630" s="5"/>
      <c r="F630" s="5"/>
    </row>
    <row r="631" ht="15.75" customHeight="1">
      <c r="A631" s="5"/>
      <c r="B631" s="5"/>
      <c r="C631" s="5"/>
      <c r="D631" s="5"/>
      <c r="E631" s="5"/>
      <c r="F631" s="5"/>
    </row>
    <row r="632" ht="15.75" customHeight="1">
      <c r="A632" s="5"/>
      <c r="B632" s="5"/>
      <c r="C632" s="5"/>
      <c r="D632" s="5"/>
      <c r="E632" s="5"/>
      <c r="F632" s="5"/>
    </row>
    <row r="633" ht="15.75" customHeight="1">
      <c r="A633" s="5"/>
      <c r="B633" s="5"/>
      <c r="C633" s="5"/>
      <c r="D633" s="5"/>
      <c r="E633" s="5"/>
      <c r="F633" s="5"/>
    </row>
    <row r="634" ht="15.75" customHeight="1">
      <c r="A634" s="5"/>
      <c r="B634" s="5"/>
      <c r="C634" s="5"/>
      <c r="D634" s="5"/>
      <c r="E634" s="5"/>
      <c r="F634" s="5"/>
    </row>
    <row r="635" ht="15.75" customHeight="1">
      <c r="A635" s="5"/>
      <c r="B635" s="5"/>
      <c r="C635" s="5"/>
      <c r="D635" s="5"/>
      <c r="E635" s="5"/>
      <c r="F635" s="5"/>
    </row>
    <row r="636" ht="15.75" customHeight="1">
      <c r="A636" s="5"/>
      <c r="B636" s="5"/>
      <c r="C636" s="5"/>
      <c r="D636" s="5"/>
      <c r="E636" s="5"/>
      <c r="F636" s="5"/>
    </row>
    <row r="637" ht="15.75" customHeight="1">
      <c r="A637" s="5"/>
      <c r="B637" s="5"/>
      <c r="C637" s="5"/>
      <c r="D637" s="5"/>
      <c r="E637" s="5"/>
      <c r="F637" s="5"/>
    </row>
    <row r="638" ht="15.75" customHeight="1">
      <c r="A638" s="5"/>
      <c r="B638" s="5"/>
      <c r="C638" s="5"/>
      <c r="D638" s="5"/>
      <c r="E638" s="5"/>
      <c r="F638" s="5"/>
    </row>
    <row r="639" ht="15.75" customHeight="1">
      <c r="A639" s="5"/>
      <c r="B639" s="5"/>
      <c r="C639" s="5"/>
      <c r="D639" s="5"/>
      <c r="E639" s="5"/>
      <c r="F639" s="5"/>
    </row>
    <row r="640" ht="15.75" customHeight="1">
      <c r="A640" s="5"/>
      <c r="B640" s="5"/>
      <c r="C640" s="5"/>
      <c r="D640" s="5"/>
      <c r="E640" s="5"/>
      <c r="F640" s="5"/>
    </row>
    <row r="641" ht="15.75" customHeight="1">
      <c r="A641" s="5"/>
      <c r="B641" s="5"/>
      <c r="C641" s="5"/>
      <c r="D641" s="5"/>
      <c r="E641" s="5"/>
      <c r="F641" s="5"/>
    </row>
    <row r="642" ht="15.75" customHeight="1">
      <c r="A642" s="5"/>
      <c r="B642" s="5"/>
      <c r="C642" s="5"/>
      <c r="D642" s="5"/>
      <c r="E642" s="5"/>
      <c r="F642" s="5"/>
    </row>
    <row r="643" ht="15.75" customHeight="1">
      <c r="A643" s="5"/>
      <c r="B643" s="5"/>
      <c r="C643" s="5"/>
      <c r="D643" s="5"/>
      <c r="E643" s="5"/>
      <c r="F643" s="5"/>
    </row>
    <row r="644" ht="15.75" customHeight="1">
      <c r="A644" s="5"/>
      <c r="B644" s="5"/>
      <c r="C644" s="5"/>
      <c r="D644" s="5"/>
      <c r="E644" s="5"/>
      <c r="F644" s="5"/>
    </row>
    <row r="645" ht="15.75" customHeight="1">
      <c r="A645" s="5"/>
      <c r="B645" s="5"/>
      <c r="C645" s="5"/>
      <c r="D645" s="5"/>
      <c r="E645" s="5"/>
      <c r="F645" s="5"/>
    </row>
    <row r="646" ht="15.75" customHeight="1">
      <c r="A646" s="5"/>
      <c r="B646" s="5"/>
      <c r="C646" s="5"/>
      <c r="D646" s="5"/>
      <c r="E646" s="5"/>
      <c r="F646" s="5"/>
    </row>
    <row r="647" ht="15.75" customHeight="1">
      <c r="A647" s="5"/>
      <c r="B647" s="5"/>
      <c r="C647" s="5"/>
      <c r="D647" s="5"/>
      <c r="E647" s="5"/>
      <c r="F647" s="5"/>
    </row>
    <row r="648" ht="15.75" customHeight="1">
      <c r="A648" s="5"/>
      <c r="B648" s="5"/>
      <c r="C648" s="5"/>
      <c r="D648" s="5"/>
      <c r="E648" s="5"/>
      <c r="F648" s="5"/>
    </row>
    <row r="649" ht="15.75" customHeight="1">
      <c r="A649" s="5"/>
      <c r="B649" s="5"/>
      <c r="C649" s="5"/>
      <c r="D649" s="5"/>
      <c r="E649" s="5"/>
      <c r="F649" s="5"/>
    </row>
    <row r="650" ht="15.75" customHeight="1">
      <c r="A650" s="5"/>
      <c r="B650" s="5"/>
      <c r="C650" s="5"/>
      <c r="D650" s="5"/>
      <c r="E650" s="5"/>
      <c r="F650" s="5"/>
    </row>
    <row r="651" ht="15.75" customHeight="1">
      <c r="A651" s="5"/>
      <c r="B651" s="5"/>
      <c r="C651" s="5"/>
      <c r="D651" s="5"/>
      <c r="E651" s="5"/>
      <c r="F651" s="5"/>
    </row>
    <row r="652" ht="15.75" customHeight="1">
      <c r="A652" s="5"/>
      <c r="B652" s="5"/>
      <c r="C652" s="5"/>
      <c r="D652" s="5"/>
      <c r="E652" s="5"/>
      <c r="F652" s="5"/>
    </row>
    <row r="653" ht="15.75" customHeight="1">
      <c r="A653" s="5"/>
      <c r="B653" s="5"/>
      <c r="C653" s="5"/>
      <c r="D653" s="5"/>
      <c r="E653" s="5"/>
      <c r="F653" s="5"/>
    </row>
    <row r="654" ht="15.75" customHeight="1">
      <c r="A654" s="5"/>
      <c r="B654" s="5"/>
      <c r="C654" s="5"/>
      <c r="D654" s="5"/>
      <c r="E654" s="5"/>
      <c r="F654" s="5"/>
    </row>
    <row r="655" ht="15.75" customHeight="1">
      <c r="A655" s="5"/>
      <c r="B655" s="5"/>
      <c r="C655" s="5"/>
      <c r="D655" s="5"/>
      <c r="E655" s="5"/>
      <c r="F655" s="5"/>
    </row>
    <row r="656" ht="15.75" customHeight="1">
      <c r="A656" s="5"/>
      <c r="B656" s="5"/>
      <c r="C656" s="5"/>
      <c r="D656" s="5"/>
      <c r="E656" s="5"/>
      <c r="F656" s="5"/>
    </row>
    <row r="657" ht="15.75" customHeight="1">
      <c r="A657" s="5"/>
      <c r="B657" s="5"/>
      <c r="C657" s="5"/>
      <c r="D657" s="5"/>
      <c r="E657" s="5"/>
      <c r="F657" s="5"/>
    </row>
    <row r="658" ht="15.75" customHeight="1">
      <c r="A658" s="5"/>
      <c r="B658" s="5"/>
      <c r="C658" s="5"/>
      <c r="D658" s="5"/>
      <c r="E658" s="5"/>
      <c r="F658" s="5"/>
    </row>
    <row r="659" ht="15.75" customHeight="1">
      <c r="A659" s="5"/>
      <c r="B659" s="5"/>
      <c r="C659" s="5"/>
      <c r="D659" s="5"/>
      <c r="E659" s="5"/>
      <c r="F659" s="5"/>
    </row>
    <row r="660" ht="15.75" customHeight="1">
      <c r="A660" s="5"/>
      <c r="B660" s="5"/>
      <c r="C660" s="5"/>
      <c r="D660" s="5"/>
      <c r="E660" s="5"/>
      <c r="F660" s="5"/>
    </row>
    <row r="661" ht="15.75" customHeight="1">
      <c r="A661" s="5"/>
      <c r="B661" s="5"/>
      <c r="C661" s="5"/>
      <c r="D661" s="5"/>
      <c r="E661" s="5"/>
      <c r="F661" s="5"/>
    </row>
    <row r="662" ht="15.75" customHeight="1">
      <c r="A662" s="5"/>
      <c r="B662" s="5"/>
      <c r="C662" s="5"/>
      <c r="D662" s="5"/>
      <c r="E662" s="5"/>
      <c r="F662" s="5"/>
    </row>
    <row r="663" ht="15.75" customHeight="1">
      <c r="A663" s="5"/>
      <c r="B663" s="5"/>
      <c r="C663" s="5"/>
      <c r="D663" s="5"/>
      <c r="E663" s="5"/>
      <c r="F663" s="5"/>
    </row>
    <row r="664" ht="15.75" customHeight="1">
      <c r="A664" s="5"/>
      <c r="B664" s="5"/>
      <c r="C664" s="5"/>
      <c r="D664" s="5"/>
      <c r="E664" s="5"/>
      <c r="F664" s="5"/>
    </row>
    <row r="665" ht="15.75" customHeight="1">
      <c r="A665" s="5"/>
      <c r="B665" s="5"/>
      <c r="C665" s="5"/>
      <c r="D665" s="5"/>
      <c r="E665" s="5"/>
      <c r="F665" s="5"/>
    </row>
    <row r="666" ht="15.75" customHeight="1">
      <c r="A666" s="5"/>
      <c r="B666" s="5"/>
      <c r="C666" s="5"/>
      <c r="D666" s="5"/>
      <c r="E666" s="5"/>
      <c r="F666" s="5"/>
    </row>
    <row r="667" ht="15.75" customHeight="1">
      <c r="A667" s="5"/>
      <c r="B667" s="5"/>
      <c r="C667" s="5"/>
      <c r="D667" s="5"/>
      <c r="E667" s="5"/>
      <c r="F667" s="5"/>
    </row>
    <row r="668" ht="15.75" customHeight="1">
      <c r="A668" s="5"/>
      <c r="B668" s="5"/>
      <c r="C668" s="5"/>
      <c r="D668" s="5"/>
      <c r="E668" s="5"/>
      <c r="F668" s="5"/>
    </row>
    <row r="669" ht="15.75" customHeight="1">
      <c r="A669" s="5"/>
      <c r="B669" s="5"/>
      <c r="C669" s="5"/>
      <c r="D669" s="5"/>
      <c r="E669" s="5"/>
      <c r="F669" s="5"/>
    </row>
    <row r="670" ht="15.75" customHeight="1">
      <c r="A670" s="5"/>
      <c r="B670" s="5"/>
      <c r="C670" s="5"/>
      <c r="D670" s="5"/>
      <c r="E670" s="5"/>
      <c r="F670" s="5"/>
    </row>
    <row r="671" ht="15.75" customHeight="1">
      <c r="A671" s="5"/>
      <c r="B671" s="5"/>
      <c r="C671" s="5"/>
      <c r="D671" s="5"/>
      <c r="E671" s="5"/>
      <c r="F671" s="5"/>
    </row>
    <row r="672" ht="15.75" customHeight="1">
      <c r="A672" s="5"/>
      <c r="B672" s="5"/>
      <c r="C672" s="5"/>
      <c r="D672" s="5"/>
      <c r="E672" s="5"/>
      <c r="F672" s="5"/>
    </row>
    <row r="673" ht="15.75" customHeight="1">
      <c r="A673" s="5"/>
      <c r="B673" s="5"/>
      <c r="C673" s="5"/>
      <c r="D673" s="5"/>
      <c r="E673" s="5"/>
      <c r="F673" s="5"/>
    </row>
    <row r="674" ht="15.75" customHeight="1">
      <c r="A674" s="5"/>
      <c r="B674" s="5"/>
      <c r="C674" s="5"/>
      <c r="D674" s="5"/>
      <c r="E674" s="5"/>
      <c r="F674" s="5"/>
    </row>
    <row r="675" ht="15.75" customHeight="1">
      <c r="A675" s="5"/>
      <c r="B675" s="5"/>
      <c r="C675" s="5"/>
      <c r="D675" s="5"/>
      <c r="E675" s="5"/>
      <c r="F675" s="5"/>
    </row>
    <row r="676" ht="15.75" customHeight="1">
      <c r="A676" s="5"/>
      <c r="B676" s="5"/>
      <c r="C676" s="5"/>
      <c r="D676" s="5"/>
      <c r="E676" s="5"/>
      <c r="F676" s="5"/>
    </row>
    <row r="677" ht="15.75" customHeight="1">
      <c r="A677" s="5"/>
      <c r="B677" s="5"/>
      <c r="C677" s="5"/>
      <c r="D677" s="5"/>
      <c r="E677" s="5"/>
      <c r="F677" s="5"/>
    </row>
    <row r="678" ht="15.75" customHeight="1">
      <c r="A678" s="5"/>
      <c r="B678" s="5"/>
      <c r="C678" s="5"/>
      <c r="D678" s="5"/>
      <c r="E678" s="5"/>
      <c r="F678" s="5"/>
    </row>
    <row r="679" ht="15.75" customHeight="1">
      <c r="A679" s="5"/>
      <c r="B679" s="5"/>
      <c r="C679" s="5"/>
      <c r="D679" s="5"/>
      <c r="E679" s="5"/>
      <c r="F679" s="5"/>
    </row>
    <row r="680" ht="15.75" customHeight="1">
      <c r="A680" s="5"/>
      <c r="B680" s="5"/>
      <c r="C680" s="5"/>
      <c r="D680" s="5"/>
      <c r="E680" s="5"/>
      <c r="F680" s="5"/>
    </row>
    <row r="681" ht="15.75" customHeight="1">
      <c r="A681" s="5"/>
      <c r="B681" s="5"/>
      <c r="C681" s="5"/>
      <c r="D681" s="5"/>
      <c r="E681" s="5"/>
      <c r="F681" s="5"/>
    </row>
    <row r="682" ht="15.75" customHeight="1">
      <c r="A682" s="5"/>
      <c r="B682" s="5"/>
      <c r="C682" s="5"/>
      <c r="D682" s="5"/>
      <c r="E682" s="5"/>
      <c r="F682" s="5"/>
    </row>
    <row r="683" ht="15.75" customHeight="1">
      <c r="A683" s="5"/>
      <c r="B683" s="5"/>
      <c r="C683" s="5"/>
      <c r="D683" s="5"/>
      <c r="E683" s="5"/>
      <c r="F683" s="5"/>
    </row>
    <row r="684" ht="15.75" customHeight="1">
      <c r="A684" s="5"/>
      <c r="B684" s="5"/>
      <c r="C684" s="5"/>
      <c r="D684" s="5"/>
      <c r="E684" s="5"/>
      <c r="F684" s="5"/>
    </row>
    <row r="685" ht="15.75" customHeight="1">
      <c r="A685" s="5"/>
      <c r="B685" s="5"/>
      <c r="C685" s="5"/>
      <c r="D685" s="5"/>
      <c r="E685" s="5"/>
      <c r="F685" s="5"/>
    </row>
    <row r="686" ht="15.75" customHeight="1">
      <c r="A686" s="5"/>
      <c r="B686" s="5"/>
      <c r="C686" s="5"/>
      <c r="D686" s="5"/>
      <c r="E686" s="5"/>
      <c r="F686" s="5"/>
    </row>
    <row r="687" ht="15.75" customHeight="1">
      <c r="A687" s="5"/>
      <c r="B687" s="5"/>
      <c r="C687" s="5"/>
      <c r="D687" s="5"/>
      <c r="E687" s="5"/>
      <c r="F687" s="5"/>
    </row>
    <row r="688" ht="15.75" customHeight="1">
      <c r="A688" s="5"/>
      <c r="B688" s="5"/>
      <c r="C688" s="5"/>
      <c r="D688" s="5"/>
      <c r="E688" s="5"/>
      <c r="F688" s="5"/>
    </row>
    <row r="689" ht="15.75" customHeight="1">
      <c r="A689" s="5"/>
      <c r="B689" s="5"/>
      <c r="C689" s="5"/>
      <c r="D689" s="5"/>
      <c r="E689" s="5"/>
      <c r="F689" s="5"/>
    </row>
    <row r="690" ht="15.75" customHeight="1">
      <c r="A690" s="5"/>
      <c r="B690" s="5"/>
      <c r="C690" s="5"/>
      <c r="D690" s="5"/>
      <c r="E690" s="5"/>
      <c r="F690" s="5"/>
    </row>
    <row r="691" ht="15.75" customHeight="1">
      <c r="A691" s="5"/>
      <c r="B691" s="5"/>
      <c r="C691" s="5"/>
      <c r="D691" s="5"/>
      <c r="E691" s="5"/>
      <c r="F691" s="5"/>
    </row>
    <row r="692" ht="15.75" customHeight="1">
      <c r="A692" s="5"/>
      <c r="B692" s="5"/>
      <c r="C692" s="5"/>
      <c r="D692" s="5"/>
      <c r="E692" s="5"/>
      <c r="F692" s="5"/>
    </row>
    <row r="693" ht="15.75" customHeight="1">
      <c r="A693" s="5"/>
      <c r="B693" s="5"/>
      <c r="C693" s="5"/>
      <c r="D693" s="5"/>
      <c r="E693" s="5"/>
      <c r="F693" s="5"/>
    </row>
    <row r="694" ht="15.75" customHeight="1">
      <c r="A694" s="5"/>
      <c r="B694" s="5"/>
      <c r="C694" s="5"/>
      <c r="D694" s="5"/>
      <c r="E694" s="5"/>
      <c r="F694" s="5"/>
    </row>
    <row r="695" ht="15.75" customHeight="1">
      <c r="A695" s="5"/>
      <c r="B695" s="5"/>
      <c r="C695" s="5"/>
      <c r="D695" s="5"/>
      <c r="E695" s="5"/>
      <c r="F695" s="5"/>
    </row>
    <row r="696" ht="15.75" customHeight="1">
      <c r="A696" s="5"/>
      <c r="B696" s="5"/>
      <c r="C696" s="5"/>
      <c r="D696" s="5"/>
      <c r="E696" s="5"/>
      <c r="F696" s="5"/>
    </row>
    <row r="697" ht="15.75" customHeight="1">
      <c r="A697" s="5"/>
      <c r="B697" s="5"/>
      <c r="C697" s="5"/>
      <c r="D697" s="5"/>
      <c r="E697" s="5"/>
      <c r="F697" s="5"/>
    </row>
    <row r="698" ht="15.75" customHeight="1">
      <c r="A698" s="5"/>
      <c r="B698" s="5"/>
      <c r="C698" s="5"/>
      <c r="D698" s="5"/>
      <c r="E698" s="5"/>
      <c r="F698" s="5"/>
    </row>
    <row r="699" ht="15.75" customHeight="1">
      <c r="A699" s="5"/>
      <c r="B699" s="5"/>
      <c r="C699" s="5"/>
      <c r="D699" s="5"/>
      <c r="E699" s="5"/>
      <c r="F699" s="5"/>
    </row>
    <row r="700" ht="15.75" customHeight="1">
      <c r="A700" s="5"/>
      <c r="B700" s="5"/>
      <c r="C700" s="5"/>
      <c r="D700" s="5"/>
      <c r="E700" s="5"/>
      <c r="F700" s="5"/>
    </row>
    <row r="701" ht="15.75" customHeight="1">
      <c r="A701" s="5"/>
      <c r="B701" s="5"/>
      <c r="C701" s="5"/>
      <c r="D701" s="5"/>
      <c r="E701" s="5"/>
      <c r="F701" s="5"/>
    </row>
    <row r="702" ht="15.75" customHeight="1">
      <c r="A702" s="5"/>
      <c r="B702" s="5"/>
      <c r="C702" s="5"/>
      <c r="D702" s="5"/>
      <c r="E702" s="5"/>
      <c r="F702" s="5"/>
    </row>
    <row r="703" ht="15.75" customHeight="1">
      <c r="A703" s="5"/>
      <c r="B703" s="5"/>
      <c r="C703" s="5"/>
      <c r="D703" s="5"/>
      <c r="E703" s="5"/>
      <c r="F703" s="5"/>
    </row>
    <row r="704" ht="15.75" customHeight="1">
      <c r="A704" s="5"/>
      <c r="B704" s="5"/>
      <c r="C704" s="5"/>
      <c r="D704" s="5"/>
      <c r="E704" s="5"/>
      <c r="F704" s="5"/>
    </row>
    <row r="705" ht="15.75" customHeight="1">
      <c r="A705" s="5"/>
      <c r="B705" s="5"/>
      <c r="C705" s="5"/>
      <c r="D705" s="5"/>
      <c r="E705" s="5"/>
      <c r="F705" s="5"/>
    </row>
    <row r="706" ht="15.75" customHeight="1">
      <c r="A706" s="5"/>
      <c r="B706" s="5"/>
      <c r="C706" s="5"/>
      <c r="D706" s="5"/>
      <c r="E706" s="5"/>
      <c r="F706" s="5"/>
    </row>
    <row r="707" ht="15.75" customHeight="1">
      <c r="A707" s="5"/>
      <c r="B707" s="5"/>
      <c r="C707" s="5"/>
      <c r="D707" s="5"/>
      <c r="E707" s="5"/>
      <c r="F707" s="5"/>
    </row>
    <row r="708" ht="15.75" customHeight="1">
      <c r="A708" s="5"/>
      <c r="B708" s="5"/>
      <c r="C708" s="5"/>
      <c r="D708" s="5"/>
      <c r="E708" s="5"/>
      <c r="F708" s="5"/>
    </row>
    <row r="709" ht="15.75" customHeight="1">
      <c r="A709" s="5"/>
      <c r="B709" s="5"/>
      <c r="C709" s="5"/>
      <c r="D709" s="5"/>
      <c r="E709" s="5"/>
      <c r="F709" s="5"/>
    </row>
    <row r="710" ht="15.75" customHeight="1">
      <c r="A710" s="5"/>
      <c r="B710" s="5"/>
      <c r="C710" s="5"/>
      <c r="D710" s="5"/>
      <c r="E710" s="5"/>
      <c r="F710" s="5"/>
    </row>
    <row r="711" ht="15.75" customHeight="1">
      <c r="A711" s="5"/>
      <c r="B711" s="5"/>
      <c r="C711" s="5"/>
      <c r="D711" s="5"/>
      <c r="E711" s="5"/>
      <c r="F711" s="5"/>
    </row>
    <row r="712" ht="15.75" customHeight="1">
      <c r="A712" s="5"/>
      <c r="B712" s="5"/>
      <c r="C712" s="5"/>
      <c r="D712" s="5"/>
      <c r="E712" s="5"/>
      <c r="F712" s="5"/>
    </row>
    <row r="713" ht="15.75" customHeight="1">
      <c r="A713" s="5"/>
      <c r="B713" s="5"/>
      <c r="C713" s="5"/>
      <c r="D713" s="5"/>
      <c r="E713" s="5"/>
      <c r="F713" s="5"/>
    </row>
    <row r="714" ht="15.75" customHeight="1">
      <c r="A714" s="5"/>
      <c r="B714" s="5"/>
      <c r="C714" s="5"/>
      <c r="D714" s="5"/>
      <c r="E714" s="5"/>
      <c r="F714" s="5"/>
    </row>
    <row r="715" ht="15.75" customHeight="1">
      <c r="A715" s="5"/>
      <c r="B715" s="5"/>
      <c r="C715" s="5"/>
      <c r="D715" s="5"/>
      <c r="E715" s="5"/>
      <c r="F715" s="5"/>
    </row>
    <row r="716" ht="15.75" customHeight="1">
      <c r="A716" s="5"/>
      <c r="B716" s="5"/>
      <c r="C716" s="5"/>
      <c r="D716" s="5"/>
      <c r="E716" s="5"/>
      <c r="F716" s="5"/>
    </row>
    <row r="717" ht="15.75" customHeight="1">
      <c r="A717" s="5"/>
      <c r="B717" s="5"/>
      <c r="C717" s="5"/>
      <c r="D717" s="5"/>
      <c r="E717" s="5"/>
      <c r="F717" s="5"/>
    </row>
    <row r="718" ht="15.75" customHeight="1">
      <c r="A718" s="5"/>
      <c r="B718" s="5"/>
      <c r="C718" s="5"/>
      <c r="D718" s="5"/>
      <c r="E718" s="5"/>
      <c r="F718" s="5"/>
    </row>
    <row r="719" ht="15.75" customHeight="1">
      <c r="A719" s="5"/>
      <c r="B719" s="5"/>
      <c r="C719" s="5"/>
      <c r="D719" s="5"/>
      <c r="E719" s="5"/>
      <c r="F719" s="5"/>
    </row>
    <row r="720" ht="15.75" customHeight="1">
      <c r="A720" s="5"/>
      <c r="B720" s="5"/>
      <c r="C720" s="5"/>
      <c r="D720" s="5"/>
      <c r="E720" s="5"/>
      <c r="F720" s="5"/>
    </row>
    <row r="721" ht="15.75" customHeight="1">
      <c r="A721" s="5"/>
      <c r="B721" s="5"/>
      <c r="C721" s="5"/>
      <c r="D721" s="5"/>
      <c r="E721" s="5"/>
      <c r="F721" s="5"/>
    </row>
    <row r="722" ht="15.75" customHeight="1">
      <c r="A722" s="5"/>
      <c r="B722" s="5"/>
      <c r="C722" s="5"/>
      <c r="D722" s="5"/>
      <c r="E722" s="5"/>
      <c r="F722" s="5"/>
    </row>
    <row r="723" ht="15.75" customHeight="1">
      <c r="A723" s="5"/>
      <c r="B723" s="5"/>
      <c r="C723" s="5"/>
      <c r="D723" s="5"/>
      <c r="E723" s="5"/>
      <c r="F723" s="5"/>
    </row>
    <row r="724" ht="15.75" customHeight="1">
      <c r="A724" s="5"/>
      <c r="B724" s="5"/>
      <c r="C724" s="5"/>
      <c r="D724" s="5"/>
      <c r="E724" s="5"/>
      <c r="F724" s="5"/>
    </row>
    <row r="725" ht="15.75" customHeight="1">
      <c r="A725" s="5"/>
      <c r="B725" s="5"/>
      <c r="C725" s="5"/>
      <c r="D725" s="5"/>
      <c r="E725" s="5"/>
      <c r="F725" s="5"/>
    </row>
    <row r="726" ht="15.75" customHeight="1">
      <c r="A726" s="5"/>
      <c r="B726" s="5"/>
      <c r="C726" s="5"/>
      <c r="D726" s="5"/>
      <c r="E726" s="5"/>
      <c r="F726" s="5"/>
    </row>
    <row r="727" ht="15.75" customHeight="1">
      <c r="A727" s="5"/>
      <c r="B727" s="5"/>
      <c r="C727" s="5"/>
      <c r="D727" s="5"/>
      <c r="E727" s="5"/>
      <c r="F727" s="5"/>
    </row>
    <row r="728" ht="15.75" customHeight="1">
      <c r="A728" s="5"/>
      <c r="B728" s="5"/>
      <c r="C728" s="5"/>
      <c r="D728" s="5"/>
      <c r="E728" s="5"/>
      <c r="F728" s="5"/>
    </row>
    <row r="729" ht="15.75" customHeight="1">
      <c r="A729" s="5"/>
      <c r="B729" s="5"/>
      <c r="C729" s="5"/>
      <c r="D729" s="5"/>
      <c r="E729" s="5"/>
      <c r="F729" s="5"/>
    </row>
    <row r="730" ht="15.75" customHeight="1">
      <c r="A730" s="5"/>
      <c r="B730" s="5"/>
      <c r="C730" s="5"/>
      <c r="D730" s="5"/>
      <c r="E730" s="5"/>
      <c r="F730" s="5"/>
    </row>
    <row r="731" ht="15.75" customHeight="1">
      <c r="A731" s="5"/>
      <c r="B731" s="5"/>
      <c r="C731" s="5"/>
      <c r="D731" s="5"/>
      <c r="E731" s="5"/>
      <c r="F731" s="5"/>
    </row>
    <row r="732" ht="15.75" customHeight="1">
      <c r="A732" s="5"/>
      <c r="B732" s="5"/>
      <c r="C732" s="5"/>
      <c r="D732" s="5"/>
      <c r="E732" s="5"/>
      <c r="F732" s="5"/>
    </row>
    <row r="733" ht="15.75" customHeight="1">
      <c r="A733" s="5"/>
      <c r="B733" s="5"/>
      <c r="C733" s="5"/>
      <c r="D733" s="5"/>
      <c r="E733" s="5"/>
      <c r="F733" s="5"/>
    </row>
    <row r="734" ht="15.75" customHeight="1">
      <c r="A734" s="5"/>
      <c r="B734" s="5"/>
      <c r="C734" s="5"/>
      <c r="D734" s="5"/>
      <c r="E734" s="5"/>
      <c r="F734" s="5"/>
    </row>
    <row r="735" ht="15.75" customHeight="1">
      <c r="A735" s="5"/>
      <c r="B735" s="5"/>
      <c r="C735" s="5"/>
      <c r="D735" s="5"/>
      <c r="E735" s="5"/>
      <c r="F735" s="5"/>
    </row>
    <row r="736" ht="15.75" customHeight="1">
      <c r="A736" s="5"/>
      <c r="B736" s="5"/>
      <c r="C736" s="5"/>
      <c r="D736" s="5"/>
      <c r="E736" s="5"/>
      <c r="F736" s="5"/>
    </row>
    <row r="737" ht="15.75" customHeight="1">
      <c r="A737" s="5"/>
      <c r="B737" s="5"/>
      <c r="C737" s="5"/>
      <c r="D737" s="5"/>
      <c r="E737" s="5"/>
      <c r="F737" s="5"/>
    </row>
    <row r="738" ht="15.75" customHeight="1">
      <c r="A738" s="5"/>
      <c r="B738" s="5"/>
      <c r="C738" s="5"/>
      <c r="D738" s="5"/>
      <c r="E738" s="5"/>
      <c r="F738" s="5"/>
    </row>
    <row r="739" ht="15.75" customHeight="1">
      <c r="A739" s="5"/>
      <c r="B739" s="5"/>
      <c r="C739" s="5"/>
      <c r="D739" s="5"/>
      <c r="E739" s="5"/>
      <c r="F739" s="5"/>
    </row>
    <row r="740" ht="15.75" customHeight="1">
      <c r="A740" s="5"/>
      <c r="B740" s="5"/>
      <c r="C740" s="5"/>
      <c r="D740" s="5"/>
      <c r="E740" s="5"/>
      <c r="F740" s="5"/>
    </row>
    <row r="741" ht="15.75" customHeight="1">
      <c r="A741" s="5"/>
      <c r="B741" s="5"/>
      <c r="C741" s="5"/>
      <c r="D741" s="5"/>
      <c r="E741" s="5"/>
      <c r="F741" s="5"/>
    </row>
    <row r="742" ht="15.75" customHeight="1">
      <c r="A742" s="5"/>
      <c r="B742" s="5"/>
      <c r="C742" s="5"/>
      <c r="D742" s="5"/>
      <c r="E742" s="5"/>
      <c r="F742" s="5"/>
    </row>
    <row r="743" ht="15.75" customHeight="1">
      <c r="A743" s="5"/>
      <c r="B743" s="5"/>
      <c r="C743" s="5"/>
      <c r="D743" s="5"/>
      <c r="E743" s="5"/>
      <c r="F743" s="5"/>
    </row>
    <row r="744" ht="15.75" customHeight="1">
      <c r="A744" s="5"/>
      <c r="B744" s="5"/>
      <c r="C744" s="5"/>
      <c r="D744" s="5"/>
      <c r="E744" s="5"/>
      <c r="F744" s="5"/>
    </row>
    <row r="745" ht="15.75" customHeight="1">
      <c r="A745" s="5"/>
      <c r="B745" s="5"/>
      <c r="C745" s="5"/>
      <c r="D745" s="5"/>
      <c r="E745" s="5"/>
      <c r="F745" s="5"/>
    </row>
    <row r="746" ht="15.75" customHeight="1">
      <c r="A746" s="5"/>
      <c r="B746" s="5"/>
      <c r="C746" s="5"/>
      <c r="D746" s="5"/>
      <c r="E746" s="5"/>
      <c r="F746" s="5"/>
    </row>
    <row r="747" ht="15.75" customHeight="1">
      <c r="A747" s="5"/>
      <c r="B747" s="5"/>
      <c r="C747" s="5"/>
      <c r="D747" s="5"/>
      <c r="E747" s="5"/>
      <c r="F747" s="5"/>
    </row>
    <row r="748" ht="15.75" customHeight="1">
      <c r="A748" s="5"/>
      <c r="B748" s="5"/>
      <c r="C748" s="5"/>
      <c r="D748" s="5"/>
      <c r="E748" s="5"/>
      <c r="F748" s="5"/>
    </row>
    <row r="749" ht="15.75" customHeight="1">
      <c r="A749" s="5"/>
      <c r="B749" s="5"/>
      <c r="C749" s="5"/>
      <c r="D749" s="5"/>
      <c r="E749" s="5"/>
      <c r="F749" s="5"/>
    </row>
    <row r="750" ht="15.75" customHeight="1">
      <c r="A750" s="5"/>
      <c r="B750" s="5"/>
      <c r="C750" s="5"/>
      <c r="D750" s="5"/>
      <c r="E750" s="5"/>
      <c r="F750" s="5"/>
    </row>
    <row r="751" ht="15.75" customHeight="1">
      <c r="A751" s="5"/>
      <c r="B751" s="5"/>
      <c r="C751" s="5"/>
      <c r="D751" s="5"/>
      <c r="E751" s="5"/>
      <c r="F751" s="5"/>
    </row>
    <row r="752" ht="15.75" customHeight="1">
      <c r="A752" s="5"/>
      <c r="B752" s="5"/>
      <c r="C752" s="5"/>
      <c r="D752" s="5"/>
      <c r="E752" s="5"/>
      <c r="F752" s="5"/>
    </row>
    <row r="753" ht="15.75" customHeight="1">
      <c r="A753" s="5"/>
      <c r="B753" s="5"/>
      <c r="C753" s="5"/>
      <c r="D753" s="5"/>
      <c r="E753" s="5"/>
      <c r="F753" s="5"/>
    </row>
    <row r="754" ht="15.75" customHeight="1">
      <c r="A754" s="5"/>
      <c r="B754" s="5"/>
      <c r="C754" s="5"/>
      <c r="D754" s="5"/>
      <c r="E754" s="5"/>
      <c r="F754" s="5"/>
    </row>
    <row r="755" ht="15.75" customHeight="1">
      <c r="A755" s="5"/>
      <c r="B755" s="5"/>
      <c r="C755" s="5"/>
      <c r="D755" s="5"/>
      <c r="E755" s="5"/>
      <c r="F755" s="5"/>
    </row>
    <row r="756" ht="15.75" customHeight="1">
      <c r="A756" s="5"/>
      <c r="B756" s="5"/>
      <c r="C756" s="5"/>
      <c r="D756" s="5"/>
      <c r="E756" s="5"/>
      <c r="F756" s="5"/>
    </row>
    <row r="757" ht="15.75" customHeight="1">
      <c r="A757" s="5"/>
      <c r="B757" s="5"/>
      <c r="C757" s="5"/>
      <c r="D757" s="5"/>
      <c r="E757" s="5"/>
      <c r="F757" s="5"/>
    </row>
    <row r="758" ht="15.75" customHeight="1">
      <c r="A758" s="5"/>
      <c r="B758" s="5"/>
      <c r="C758" s="5"/>
      <c r="D758" s="5"/>
      <c r="E758" s="5"/>
      <c r="F758" s="5"/>
    </row>
    <row r="759" ht="15.75" customHeight="1">
      <c r="A759" s="5"/>
      <c r="B759" s="5"/>
      <c r="C759" s="5"/>
      <c r="D759" s="5"/>
      <c r="E759" s="5"/>
      <c r="F759" s="5"/>
    </row>
    <row r="760" ht="15.75" customHeight="1">
      <c r="A760" s="5"/>
      <c r="B760" s="5"/>
      <c r="C760" s="5"/>
      <c r="D760" s="5"/>
      <c r="E760" s="5"/>
      <c r="F760" s="5"/>
    </row>
    <row r="761" ht="15.75" customHeight="1">
      <c r="A761" s="5"/>
      <c r="B761" s="5"/>
      <c r="C761" s="5"/>
      <c r="D761" s="5"/>
      <c r="E761" s="5"/>
      <c r="F761" s="5"/>
    </row>
    <row r="762" ht="15.75" customHeight="1">
      <c r="A762" s="5"/>
      <c r="B762" s="5"/>
      <c r="C762" s="5"/>
      <c r="D762" s="5"/>
      <c r="E762" s="5"/>
      <c r="F762" s="5"/>
    </row>
    <row r="763" ht="15.75" customHeight="1">
      <c r="A763" s="5"/>
      <c r="B763" s="5"/>
      <c r="C763" s="5"/>
      <c r="D763" s="5"/>
      <c r="E763" s="5"/>
      <c r="F763" s="5"/>
    </row>
    <row r="764" ht="15.75" customHeight="1">
      <c r="A764" s="5"/>
      <c r="B764" s="5"/>
      <c r="C764" s="5"/>
      <c r="D764" s="5"/>
      <c r="E764" s="5"/>
      <c r="F764" s="5"/>
    </row>
    <row r="765" ht="15.75" customHeight="1">
      <c r="A765" s="5"/>
      <c r="B765" s="5"/>
      <c r="C765" s="5"/>
      <c r="D765" s="5"/>
      <c r="E765" s="5"/>
      <c r="F765" s="5"/>
    </row>
    <row r="766" ht="15.75" customHeight="1">
      <c r="A766" s="5"/>
      <c r="B766" s="5"/>
      <c r="C766" s="5"/>
      <c r="D766" s="5"/>
      <c r="E766" s="5"/>
      <c r="F766" s="5"/>
    </row>
    <row r="767" ht="15.75" customHeight="1">
      <c r="A767" s="5"/>
      <c r="B767" s="5"/>
      <c r="C767" s="5"/>
      <c r="D767" s="5"/>
      <c r="E767" s="5"/>
      <c r="F767" s="5"/>
    </row>
    <row r="768" ht="15.75" customHeight="1">
      <c r="A768" s="5"/>
      <c r="B768" s="5"/>
      <c r="C768" s="5"/>
      <c r="D768" s="5"/>
      <c r="E768" s="5"/>
      <c r="F768" s="5"/>
    </row>
    <row r="769" ht="15.75" customHeight="1">
      <c r="A769" s="5"/>
      <c r="B769" s="5"/>
      <c r="C769" s="5"/>
      <c r="D769" s="5"/>
      <c r="E769" s="5"/>
      <c r="F769" s="5"/>
    </row>
    <row r="770" ht="15.75" customHeight="1">
      <c r="A770" s="5"/>
      <c r="B770" s="5"/>
      <c r="C770" s="5"/>
      <c r="D770" s="5"/>
      <c r="E770" s="5"/>
      <c r="F770" s="5"/>
    </row>
    <row r="771" ht="15.75" customHeight="1">
      <c r="A771" s="5"/>
      <c r="B771" s="5"/>
      <c r="C771" s="5"/>
      <c r="D771" s="5"/>
      <c r="E771" s="5"/>
      <c r="F771" s="5"/>
    </row>
    <row r="772" ht="15.75" customHeight="1">
      <c r="A772" s="5"/>
      <c r="B772" s="5"/>
      <c r="C772" s="5"/>
      <c r="D772" s="5"/>
      <c r="E772" s="5"/>
      <c r="F772" s="5"/>
    </row>
    <row r="773" ht="15.75" customHeight="1">
      <c r="A773" s="5"/>
      <c r="B773" s="5"/>
      <c r="C773" s="5"/>
      <c r="D773" s="5"/>
      <c r="E773" s="5"/>
      <c r="F773" s="5"/>
    </row>
    <row r="774" ht="15.75" customHeight="1">
      <c r="A774" s="5"/>
      <c r="B774" s="5"/>
      <c r="C774" s="5"/>
      <c r="D774" s="5"/>
      <c r="E774" s="5"/>
      <c r="F774" s="5"/>
    </row>
    <row r="775" ht="15.75" customHeight="1">
      <c r="A775" s="5"/>
      <c r="B775" s="5"/>
      <c r="C775" s="5"/>
      <c r="D775" s="5"/>
      <c r="E775" s="5"/>
      <c r="F775" s="5"/>
    </row>
    <row r="776" ht="15.75" customHeight="1">
      <c r="A776" s="5"/>
      <c r="B776" s="5"/>
      <c r="C776" s="5"/>
      <c r="D776" s="5"/>
      <c r="E776" s="5"/>
      <c r="F776" s="5"/>
    </row>
    <row r="777" ht="15.75" customHeight="1">
      <c r="A777" s="5"/>
      <c r="B777" s="5"/>
      <c r="C777" s="5"/>
      <c r="D777" s="5"/>
      <c r="E777" s="5"/>
      <c r="F777" s="5"/>
    </row>
    <row r="778" ht="15.75" customHeight="1">
      <c r="A778" s="5"/>
      <c r="B778" s="5"/>
      <c r="C778" s="5"/>
      <c r="D778" s="5"/>
      <c r="E778" s="5"/>
      <c r="F778" s="5"/>
    </row>
    <row r="779" ht="15.75" customHeight="1">
      <c r="A779" s="5"/>
      <c r="B779" s="5"/>
      <c r="C779" s="5"/>
      <c r="D779" s="5"/>
      <c r="E779" s="5"/>
      <c r="F779" s="5"/>
    </row>
    <row r="780" ht="15.75" customHeight="1">
      <c r="A780" s="5"/>
      <c r="B780" s="5"/>
      <c r="C780" s="5"/>
      <c r="D780" s="5"/>
      <c r="E780" s="5"/>
      <c r="F780" s="5"/>
    </row>
    <row r="781" ht="15.75" customHeight="1">
      <c r="A781" s="5"/>
      <c r="B781" s="5"/>
      <c r="C781" s="5"/>
      <c r="D781" s="5"/>
      <c r="E781" s="5"/>
      <c r="F781" s="5"/>
    </row>
    <row r="782" ht="15.75" customHeight="1">
      <c r="A782" s="5"/>
      <c r="B782" s="5"/>
      <c r="C782" s="5"/>
      <c r="D782" s="5"/>
      <c r="E782" s="5"/>
      <c r="F782" s="5"/>
    </row>
    <row r="783" ht="15.75" customHeight="1">
      <c r="A783" s="5"/>
      <c r="B783" s="5"/>
      <c r="C783" s="5"/>
      <c r="D783" s="5"/>
      <c r="E783" s="5"/>
      <c r="F783" s="5"/>
    </row>
    <row r="784" ht="15.75" customHeight="1">
      <c r="A784" s="5"/>
      <c r="B784" s="5"/>
      <c r="C784" s="5"/>
      <c r="D784" s="5"/>
      <c r="E784" s="5"/>
      <c r="F784" s="5"/>
    </row>
    <row r="785" ht="15.75" customHeight="1">
      <c r="A785" s="5"/>
      <c r="B785" s="5"/>
      <c r="C785" s="5"/>
      <c r="D785" s="5"/>
      <c r="E785" s="5"/>
      <c r="F785" s="5"/>
    </row>
    <row r="786" ht="15.75" customHeight="1">
      <c r="A786" s="5"/>
      <c r="B786" s="5"/>
      <c r="C786" s="5"/>
      <c r="D786" s="5"/>
      <c r="E786" s="5"/>
      <c r="F786" s="5"/>
    </row>
    <row r="787" ht="15.75" customHeight="1">
      <c r="A787" s="5"/>
      <c r="B787" s="5"/>
      <c r="C787" s="5"/>
      <c r="D787" s="5"/>
      <c r="E787" s="5"/>
      <c r="F787" s="5"/>
    </row>
    <row r="788" ht="15.75" customHeight="1">
      <c r="A788" s="5"/>
      <c r="B788" s="5"/>
      <c r="C788" s="5"/>
      <c r="D788" s="5"/>
      <c r="E788" s="5"/>
      <c r="F788" s="5"/>
    </row>
    <row r="789" ht="15.75" customHeight="1">
      <c r="A789" s="5"/>
      <c r="B789" s="5"/>
      <c r="C789" s="5"/>
      <c r="D789" s="5"/>
      <c r="E789" s="5"/>
      <c r="F789" s="5"/>
    </row>
    <row r="790" ht="15.75" customHeight="1">
      <c r="A790" s="5"/>
      <c r="B790" s="5"/>
      <c r="C790" s="5"/>
      <c r="D790" s="5"/>
      <c r="E790" s="5"/>
      <c r="F790" s="5"/>
    </row>
    <row r="791" ht="15.75" customHeight="1">
      <c r="A791" s="5"/>
      <c r="B791" s="5"/>
      <c r="C791" s="5"/>
      <c r="D791" s="5"/>
      <c r="E791" s="5"/>
      <c r="F791" s="5"/>
    </row>
    <row r="792" ht="15.75" customHeight="1">
      <c r="A792" s="5"/>
      <c r="B792" s="5"/>
      <c r="C792" s="5"/>
      <c r="D792" s="5"/>
      <c r="E792" s="5"/>
      <c r="F792" s="5"/>
    </row>
    <row r="793" ht="15.75" customHeight="1">
      <c r="A793" s="5"/>
      <c r="B793" s="5"/>
      <c r="C793" s="5"/>
      <c r="D793" s="5"/>
      <c r="E793" s="5"/>
      <c r="F793" s="5"/>
    </row>
    <row r="794" ht="15.75" customHeight="1">
      <c r="A794" s="5"/>
      <c r="B794" s="5"/>
      <c r="C794" s="5"/>
      <c r="D794" s="5"/>
      <c r="E794" s="5"/>
      <c r="F794" s="5"/>
    </row>
    <row r="795" ht="15.75" customHeight="1">
      <c r="A795" s="5"/>
      <c r="B795" s="5"/>
      <c r="C795" s="5"/>
      <c r="D795" s="5"/>
      <c r="E795" s="5"/>
      <c r="F795" s="5"/>
    </row>
    <row r="796" ht="15.75" customHeight="1">
      <c r="A796" s="5"/>
      <c r="B796" s="5"/>
      <c r="C796" s="5"/>
      <c r="D796" s="5"/>
      <c r="E796" s="5"/>
      <c r="F796" s="5"/>
    </row>
    <row r="797" ht="15.75" customHeight="1">
      <c r="A797" s="5"/>
      <c r="B797" s="5"/>
      <c r="C797" s="5"/>
      <c r="D797" s="5"/>
      <c r="E797" s="5"/>
      <c r="F797" s="5"/>
    </row>
    <row r="798" ht="15.75" customHeight="1">
      <c r="A798" s="5"/>
      <c r="B798" s="5"/>
      <c r="C798" s="5"/>
      <c r="D798" s="5"/>
      <c r="E798" s="5"/>
      <c r="F798" s="5"/>
    </row>
    <row r="799" ht="15.75" customHeight="1">
      <c r="A799" s="5"/>
      <c r="B799" s="5"/>
      <c r="C799" s="5"/>
      <c r="D799" s="5"/>
      <c r="E799" s="5"/>
      <c r="F799" s="5"/>
    </row>
    <row r="800" ht="15.75" customHeight="1">
      <c r="A800" s="5"/>
      <c r="B800" s="5"/>
      <c r="C800" s="5"/>
      <c r="D800" s="5"/>
      <c r="E800" s="5"/>
      <c r="F800" s="5"/>
    </row>
    <row r="801" ht="15.75" customHeight="1">
      <c r="A801" s="5"/>
      <c r="B801" s="5"/>
      <c r="C801" s="5"/>
      <c r="D801" s="5"/>
      <c r="E801" s="5"/>
      <c r="F801" s="5"/>
    </row>
    <row r="802" ht="15.75" customHeight="1">
      <c r="A802" s="5"/>
      <c r="B802" s="5"/>
      <c r="C802" s="5"/>
      <c r="D802" s="5"/>
      <c r="E802" s="5"/>
      <c r="F802" s="5"/>
    </row>
    <row r="803" ht="15.75" customHeight="1">
      <c r="A803" s="5"/>
      <c r="B803" s="5"/>
      <c r="C803" s="5"/>
      <c r="D803" s="5"/>
      <c r="E803" s="5"/>
      <c r="F803" s="5"/>
    </row>
    <row r="804" ht="15.75" customHeight="1">
      <c r="A804" s="5"/>
      <c r="B804" s="5"/>
      <c r="C804" s="5"/>
      <c r="D804" s="5"/>
      <c r="E804" s="5"/>
      <c r="F804" s="5"/>
    </row>
    <row r="805" ht="15.75" customHeight="1">
      <c r="A805" s="5"/>
      <c r="B805" s="5"/>
      <c r="C805" s="5"/>
      <c r="D805" s="5"/>
      <c r="E805" s="5"/>
      <c r="F805" s="5"/>
    </row>
    <row r="806" ht="15.75" customHeight="1">
      <c r="A806" s="5"/>
      <c r="B806" s="5"/>
      <c r="C806" s="5"/>
      <c r="D806" s="5"/>
      <c r="E806" s="5"/>
      <c r="F806" s="5"/>
    </row>
    <row r="807" ht="15.75" customHeight="1">
      <c r="A807" s="5"/>
      <c r="B807" s="5"/>
      <c r="C807" s="5"/>
      <c r="D807" s="5"/>
      <c r="E807" s="5"/>
      <c r="F807" s="5"/>
    </row>
    <row r="808" ht="15.75" customHeight="1">
      <c r="A808" s="5"/>
      <c r="B808" s="5"/>
      <c r="C808" s="5"/>
      <c r="D808" s="5"/>
      <c r="E808" s="5"/>
      <c r="F808" s="5"/>
    </row>
    <row r="809" ht="15.75" customHeight="1">
      <c r="A809" s="5"/>
      <c r="B809" s="5"/>
      <c r="C809" s="5"/>
      <c r="D809" s="5"/>
      <c r="E809" s="5"/>
      <c r="F809" s="5"/>
    </row>
    <row r="810" ht="15.75" customHeight="1">
      <c r="A810" s="5"/>
      <c r="B810" s="5"/>
      <c r="C810" s="5"/>
      <c r="D810" s="5"/>
      <c r="E810" s="5"/>
      <c r="F810" s="5"/>
    </row>
    <row r="811" ht="15.75" customHeight="1">
      <c r="A811" s="5"/>
      <c r="B811" s="5"/>
      <c r="C811" s="5"/>
      <c r="D811" s="5"/>
      <c r="E811" s="5"/>
      <c r="F811" s="5"/>
    </row>
    <row r="812" ht="15.75" customHeight="1">
      <c r="A812" s="5"/>
      <c r="B812" s="5"/>
      <c r="C812" s="5"/>
      <c r="D812" s="5"/>
      <c r="E812" s="5"/>
      <c r="F812" s="5"/>
    </row>
    <row r="813" ht="15.75" customHeight="1">
      <c r="A813" s="5"/>
      <c r="B813" s="5"/>
      <c r="C813" s="5"/>
      <c r="D813" s="5"/>
      <c r="E813" s="5"/>
      <c r="F813" s="5"/>
    </row>
    <row r="814" ht="15.75" customHeight="1">
      <c r="A814" s="5"/>
      <c r="B814" s="5"/>
      <c r="C814" s="5"/>
      <c r="D814" s="5"/>
      <c r="E814" s="5"/>
      <c r="F814" s="5"/>
    </row>
    <row r="815" ht="15.75" customHeight="1">
      <c r="A815" s="5"/>
      <c r="B815" s="5"/>
      <c r="C815" s="5"/>
      <c r="D815" s="5"/>
      <c r="E815" s="5"/>
      <c r="F815" s="5"/>
    </row>
    <row r="816" ht="15.75" customHeight="1">
      <c r="A816" s="5"/>
      <c r="B816" s="5"/>
      <c r="C816" s="5"/>
      <c r="D816" s="5"/>
      <c r="E816" s="5"/>
      <c r="F816" s="5"/>
    </row>
    <row r="817" ht="15.75" customHeight="1">
      <c r="A817" s="5"/>
      <c r="B817" s="5"/>
      <c r="C817" s="5"/>
      <c r="D817" s="5"/>
      <c r="E817" s="5"/>
      <c r="F817" s="5"/>
    </row>
    <row r="818" ht="15.75" customHeight="1">
      <c r="A818" s="5"/>
      <c r="B818" s="5"/>
      <c r="C818" s="5"/>
      <c r="D818" s="5"/>
      <c r="E818" s="5"/>
      <c r="F818" s="5"/>
    </row>
    <row r="819" ht="15.75" customHeight="1">
      <c r="A819" s="5"/>
      <c r="B819" s="5"/>
      <c r="C819" s="5"/>
      <c r="D819" s="5"/>
      <c r="E819" s="5"/>
      <c r="F819" s="5"/>
    </row>
    <row r="820" ht="15.75" customHeight="1">
      <c r="A820" s="5"/>
      <c r="B820" s="5"/>
      <c r="C820" s="5"/>
      <c r="D820" s="5"/>
      <c r="E820" s="5"/>
      <c r="F820" s="5"/>
    </row>
    <row r="821" ht="15.75" customHeight="1">
      <c r="A821" s="5"/>
      <c r="B821" s="5"/>
      <c r="C821" s="5"/>
      <c r="D821" s="5"/>
      <c r="E821" s="5"/>
      <c r="F821" s="5"/>
    </row>
    <row r="822" ht="15.75" customHeight="1">
      <c r="A822" s="5"/>
      <c r="B822" s="5"/>
      <c r="C822" s="5"/>
      <c r="D822" s="5"/>
      <c r="E822" s="5"/>
      <c r="F822" s="5"/>
    </row>
    <row r="823" ht="15.75" customHeight="1">
      <c r="A823" s="5"/>
      <c r="B823" s="5"/>
      <c r="C823" s="5"/>
      <c r="D823" s="5"/>
      <c r="E823" s="5"/>
      <c r="F823" s="5"/>
    </row>
    <row r="824" ht="15.75" customHeight="1">
      <c r="A824" s="5"/>
      <c r="B824" s="5"/>
      <c r="C824" s="5"/>
      <c r="D824" s="5"/>
      <c r="E824" s="5"/>
      <c r="F824" s="5"/>
    </row>
    <row r="825" ht="15.75" customHeight="1">
      <c r="A825" s="5"/>
      <c r="B825" s="5"/>
      <c r="C825" s="5"/>
      <c r="D825" s="5"/>
      <c r="E825" s="5"/>
      <c r="F825" s="5"/>
    </row>
    <row r="826" ht="15.75" customHeight="1">
      <c r="A826" s="5"/>
      <c r="B826" s="5"/>
      <c r="C826" s="5"/>
      <c r="D826" s="5"/>
      <c r="E826" s="5"/>
      <c r="F826" s="5"/>
    </row>
    <row r="827" ht="15.75" customHeight="1">
      <c r="A827" s="5"/>
      <c r="B827" s="5"/>
      <c r="C827" s="5"/>
      <c r="D827" s="5"/>
      <c r="E827" s="5"/>
      <c r="F827" s="5"/>
    </row>
    <row r="828" ht="15.75" customHeight="1">
      <c r="A828" s="5"/>
      <c r="B828" s="5"/>
      <c r="C828" s="5"/>
      <c r="D828" s="5"/>
      <c r="E828" s="5"/>
      <c r="F828" s="5"/>
    </row>
    <row r="829" ht="15.75" customHeight="1">
      <c r="A829" s="5"/>
      <c r="B829" s="5"/>
      <c r="C829" s="5"/>
      <c r="D829" s="5"/>
      <c r="E829" s="5"/>
      <c r="F829" s="5"/>
    </row>
    <row r="830" ht="15.75" customHeight="1">
      <c r="A830" s="5"/>
      <c r="B830" s="5"/>
      <c r="C830" s="5"/>
      <c r="D830" s="5"/>
      <c r="E830" s="5"/>
      <c r="F830" s="5"/>
    </row>
    <row r="831" ht="15.75" customHeight="1">
      <c r="A831" s="5"/>
      <c r="B831" s="5"/>
      <c r="C831" s="5"/>
      <c r="D831" s="5"/>
      <c r="E831" s="5"/>
      <c r="F831" s="5"/>
    </row>
    <row r="832" ht="15.75" customHeight="1">
      <c r="A832" s="5"/>
      <c r="B832" s="5"/>
      <c r="C832" s="5"/>
      <c r="D832" s="5"/>
      <c r="E832" s="5"/>
      <c r="F832" s="5"/>
    </row>
    <row r="833" ht="15.75" customHeight="1">
      <c r="A833" s="5"/>
      <c r="B833" s="5"/>
      <c r="C833" s="5"/>
      <c r="D833" s="5"/>
      <c r="E833" s="5"/>
      <c r="F833" s="5"/>
    </row>
    <row r="834" ht="15.75" customHeight="1">
      <c r="A834" s="5"/>
      <c r="B834" s="5"/>
      <c r="C834" s="5"/>
      <c r="D834" s="5"/>
      <c r="E834" s="5"/>
      <c r="F834" s="5"/>
    </row>
    <row r="835" ht="15.75" customHeight="1">
      <c r="A835" s="5"/>
      <c r="B835" s="5"/>
      <c r="C835" s="5"/>
      <c r="D835" s="5"/>
      <c r="E835" s="5"/>
      <c r="F835" s="5"/>
    </row>
    <row r="836" ht="15.75" customHeight="1">
      <c r="A836" s="5"/>
      <c r="B836" s="5"/>
      <c r="C836" s="5"/>
      <c r="D836" s="5"/>
      <c r="E836" s="5"/>
      <c r="F836" s="5"/>
    </row>
    <row r="837" ht="15.75" customHeight="1">
      <c r="A837" s="5"/>
      <c r="B837" s="5"/>
      <c r="C837" s="5"/>
      <c r="D837" s="5"/>
      <c r="E837" s="5"/>
      <c r="F837" s="5"/>
    </row>
    <row r="838" ht="15.75" customHeight="1">
      <c r="A838" s="5"/>
      <c r="B838" s="5"/>
      <c r="C838" s="5"/>
      <c r="D838" s="5"/>
      <c r="E838" s="5"/>
      <c r="F838" s="5"/>
    </row>
    <row r="839" ht="15.75" customHeight="1">
      <c r="A839" s="5"/>
      <c r="B839" s="5"/>
      <c r="C839" s="5"/>
      <c r="D839" s="5"/>
      <c r="E839" s="5"/>
      <c r="F839" s="5"/>
    </row>
    <row r="840" ht="15.75" customHeight="1">
      <c r="A840" s="5"/>
      <c r="B840" s="5"/>
      <c r="C840" s="5"/>
      <c r="D840" s="5"/>
      <c r="E840" s="5"/>
      <c r="F840" s="5"/>
    </row>
    <row r="841" ht="15.75" customHeight="1">
      <c r="A841" s="5"/>
      <c r="B841" s="5"/>
      <c r="C841" s="5"/>
      <c r="D841" s="5"/>
      <c r="E841" s="5"/>
      <c r="F841" s="5"/>
    </row>
    <row r="842" ht="15.75" customHeight="1">
      <c r="A842" s="5"/>
      <c r="B842" s="5"/>
      <c r="C842" s="5"/>
      <c r="D842" s="5"/>
      <c r="E842" s="5"/>
      <c r="F842" s="5"/>
    </row>
    <row r="843" ht="15.75" customHeight="1">
      <c r="A843" s="5"/>
      <c r="B843" s="5"/>
      <c r="C843" s="5"/>
      <c r="D843" s="5"/>
      <c r="E843" s="5"/>
      <c r="F843" s="5"/>
    </row>
    <row r="844" ht="15.75" customHeight="1">
      <c r="A844" s="5"/>
      <c r="B844" s="5"/>
      <c r="C844" s="5"/>
      <c r="D844" s="5"/>
      <c r="E844" s="5"/>
      <c r="F844" s="5"/>
    </row>
    <row r="845" ht="15.75" customHeight="1">
      <c r="A845" s="5"/>
      <c r="B845" s="5"/>
      <c r="C845" s="5"/>
      <c r="D845" s="5"/>
      <c r="E845" s="5"/>
      <c r="F845" s="5"/>
    </row>
    <row r="846" ht="15.75" customHeight="1">
      <c r="A846" s="5"/>
      <c r="B846" s="5"/>
      <c r="C846" s="5"/>
      <c r="D846" s="5"/>
      <c r="E846" s="5"/>
      <c r="F846" s="5"/>
    </row>
    <row r="847" ht="15.75" customHeight="1">
      <c r="A847" s="5"/>
      <c r="B847" s="5"/>
      <c r="C847" s="5"/>
      <c r="D847" s="5"/>
      <c r="E847" s="5"/>
      <c r="F847" s="5"/>
    </row>
    <row r="848" ht="15.75" customHeight="1">
      <c r="A848" s="5"/>
      <c r="B848" s="5"/>
      <c r="C848" s="5"/>
      <c r="D848" s="5"/>
      <c r="E848" s="5"/>
      <c r="F848" s="5"/>
    </row>
    <row r="849" ht="15.75" customHeight="1">
      <c r="A849" s="5"/>
      <c r="B849" s="5"/>
      <c r="C849" s="5"/>
      <c r="D849" s="5"/>
      <c r="E849" s="5"/>
      <c r="F849" s="5"/>
    </row>
    <row r="850" ht="15.75" customHeight="1">
      <c r="A850" s="5"/>
      <c r="B850" s="5"/>
      <c r="C850" s="5"/>
      <c r="D850" s="5"/>
      <c r="E850" s="5"/>
      <c r="F850" s="5"/>
    </row>
    <row r="851" ht="15.75" customHeight="1">
      <c r="A851" s="5"/>
      <c r="B851" s="5"/>
      <c r="C851" s="5"/>
      <c r="D851" s="5"/>
      <c r="E851" s="5"/>
      <c r="F851" s="5"/>
    </row>
    <row r="852" ht="15.75" customHeight="1">
      <c r="A852" s="5"/>
      <c r="B852" s="5"/>
      <c r="C852" s="5"/>
      <c r="D852" s="5"/>
      <c r="E852" s="5"/>
      <c r="F852" s="5"/>
    </row>
    <row r="853" ht="15.75" customHeight="1">
      <c r="A853" s="5"/>
      <c r="B853" s="5"/>
      <c r="C853" s="5"/>
      <c r="D853" s="5"/>
      <c r="E853" s="5"/>
      <c r="F853" s="5"/>
    </row>
    <row r="854" ht="15.75" customHeight="1">
      <c r="A854" s="5"/>
      <c r="B854" s="5"/>
      <c r="C854" s="5"/>
      <c r="D854" s="5"/>
      <c r="E854" s="5"/>
      <c r="F854" s="5"/>
    </row>
    <row r="855" ht="15.75" customHeight="1">
      <c r="A855" s="5"/>
      <c r="B855" s="5"/>
      <c r="C855" s="5"/>
      <c r="D855" s="5"/>
      <c r="E855" s="5"/>
      <c r="F855" s="5"/>
    </row>
    <row r="856" ht="15.75" customHeight="1">
      <c r="A856" s="5"/>
      <c r="B856" s="5"/>
      <c r="C856" s="5"/>
      <c r="D856" s="5"/>
      <c r="E856" s="5"/>
      <c r="F856" s="5"/>
    </row>
    <row r="857" ht="15.75" customHeight="1">
      <c r="A857" s="5"/>
      <c r="B857" s="5"/>
      <c r="C857" s="5"/>
      <c r="D857" s="5"/>
      <c r="E857" s="5"/>
      <c r="F857" s="5"/>
    </row>
    <row r="858" ht="15.75" customHeight="1">
      <c r="A858" s="5"/>
      <c r="B858" s="5"/>
      <c r="C858" s="5"/>
      <c r="D858" s="5"/>
      <c r="E858" s="5"/>
      <c r="F858" s="5"/>
    </row>
    <row r="859" ht="15.75" customHeight="1">
      <c r="A859" s="5"/>
      <c r="B859" s="5"/>
      <c r="C859" s="5"/>
      <c r="D859" s="5"/>
      <c r="E859" s="5"/>
      <c r="F859" s="5"/>
    </row>
    <row r="860" ht="15.75" customHeight="1">
      <c r="A860" s="5"/>
      <c r="B860" s="5"/>
      <c r="C860" s="5"/>
      <c r="D860" s="5"/>
      <c r="E860" s="5"/>
      <c r="F860" s="5"/>
    </row>
    <row r="861" ht="15.75" customHeight="1">
      <c r="A861" s="5"/>
      <c r="B861" s="5"/>
      <c r="C861" s="5"/>
      <c r="D861" s="5"/>
      <c r="E861" s="5"/>
      <c r="F861" s="5"/>
    </row>
    <row r="862" ht="15.75" customHeight="1">
      <c r="A862" s="5"/>
      <c r="B862" s="5"/>
      <c r="C862" s="5"/>
      <c r="D862" s="5"/>
      <c r="E862" s="5"/>
      <c r="F862" s="5"/>
    </row>
    <row r="863" ht="15.75" customHeight="1">
      <c r="A863" s="5"/>
      <c r="B863" s="5"/>
      <c r="C863" s="5"/>
      <c r="D863" s="5"/>
      <c r="E863" s="5"/>
      <c r="F863" s="5"/>
    </row>
    <row r="864" ht="15.75" customHeight="1">
      <c r="A864" s="5"/>
      <c r="B864" s="5"/>
      <c r="C864" s="5"/>
      <c r="D864" s="5"/>
      <c r="E864" s="5"/>
      <c r="F864" s="5"/>
    </row>
    <row r="865" ht="15.75" customHeight="1">
      <c r="A865" s="5"/>
      <c r="B865" s="5"/>
      <c r="C865" s="5"/>
      <c r="D865" s="5"/>
      <c r="E865" s="5"/>
      <c r="F865" s="5"/>
    </row>
    <row r="866" ht="15.75" customHeight="1">
      <c r="A866" s="5"/>
      <c r="B866" s="5"/>
      <c r="C866" s="5"/>
      <c r="D866" s="5"/>
      <c r="E866" s="5"/>
      <c r="F866" s="5"/>
    </row>
    <row r="867" ht="15.75" customHeight="1">
      <c r="A867" s="5"/>
      <c r="B867" s="5"/>
      <c r="C867" s="5"/>
      <c r="D867" s="5"/>
      <c r="E867" s="5"/>
      <c r="F867" s="5"/>
    </row>
    <row r="868" ht="15.75" customHeight="1">
      <c r="A868" s="5"/>
      <c r="B868" s="5"/>
      <c r="C868" s="5"/>
      <c r="D868" s="5"/>
      <c r="E868" s="5"/>
      <c r="F868" s="5"/>
    </row>
    <row r="869" ht="15.75" customHeight="1">
      <c r="A869" s="5"/>
      <c r="B869" s="5"/>
      <c r="C869" s="5"/>
      <c r="D869" s="5"/>
      <c r="E869" s="5"/>
      <c r="F869" s="5"/>
    </row>
    <row r="870" ht="15.75" customHeight="1">
      <c r="A870" s="5"/>
      <c r="B870" s="5"/>
      <c r="C870" s="5"/>
      <c r="D870" s="5"/>
      <c r="E870" s="5"/>
      <c r="F870" s="5"/>
    </row>
    <row r="871" ht="15.75" customHeight="1">
      <c r="A871" s="5"/>
      <c r="B871" s="5"/>
      <c r="C871" s="5"/>
      <c r="D871" s="5"/>
      <c r="E871" s="5"/>
      <c r="F871" s="5"/>
    </row>
    <row r="872" ht="15.75" customHeight="1">
      <c r="A872" s="5"/>
      <c r="B872" s="5"/>
      <c r="C872" s="5"/>
      <c r="D872" s="5"/>
      <c r="E872" s="5"/>
      <c r="F872" s="5"/>
    </row>
    <row r="873" ht="15.75" customHeight="1">
      <c r="A873" s="5"/>
      <c r="B873" s="5"/>
      <c r="C873" s="5"/>
      <c r="D873" s="5"/>
      <c r="E873" s="5"/>
      <c r="F873" s="5"/>
    </row>
    <row r="874" ht="15.75" customHeight="1">
      <c r="A874" s="5"/>
      <c r="B874" s="5"/>
      <c r="C874" s="5"/>
      <c r="D874" s="5"/>
      <c r="E874" s="5"/>
      <c r="F874" s="5"/>
    </row>
    <row r="875" ht="15.75" customHeight="1">
      <c r="A875" s="5"/>
      <c r="B875" s="5"/>
      <c r="C875" s="5"/>
      <c r="D875" s="5"/>
      <c r="E875" s="5"/>
      <c r="F875" s="5"/>
    </row>
    <row r="876" ht="15.75" customHeight="1">
      <c r="A876" s="5"/>
      <c r="B876" s="5"/>
      <c r="C876" s="5"/>
      <c r="D876" s="5"/>
      <c r="E876" s="5"/>
      <c r="F876" s="5"/>
    </row>
    <row r="877" ht="15.75" customHeight="1">
      <c r="A877" s="5"/>
      <c r="B877" s="5"/>
      <c r="C877" s="5"/>
      <c r="D877" s="5"/>
      <c r="E877" s="5"/>
      <c r="F877" s="5"/>
    </row>
    <row r="878" ht="15.75" customHeight="1">
      <c r="A878" s="5"/>
      <c r="B878" s="5"/>
      <c r="C878" s="5"/>
      <c r="D878" s="5"/>
      <c r="E878" s="5"/>
      <c r="F878" s="5"/>
    </row>
    <row r="879" ht="15.75" customHeight="1">
      <c r="A879" s="5"/>
      <c r="B879" s="5"/>
      <c r="C879" s="5"/>
      <c r="D879" s="5"/>
      <c r="E879" s="5"/>
      <c r="F879" s="5"/>
    </row>
    <row r="880" ht="15.75" customHeight="1">
      <c r="A880" s="5"/>
      <c r="B880" s="5"/>
      <c r="C880" s="5"/>
      <c r="D880" s="5"/>
      <c r="E880" s="5"/>
      <c r="F880" s="5"/>
    </row>
    <row r="881" ht="15.75" customHeight="1">
      <c r="A881" s="5"/>
      <c r="B881" s="5"/>
      <c r="C881" s="5"/>
      <c r="D881" s="5"/>
      <c r="E881" s="5"/>
      <c r="F881" s="5"/>
    </row>
    <row r="882" ht="15.75" customHeight="1">
      <c r="A882" s="5"/>
      <c r="B882" s="5"/>
      <c r="C882" s="5"/>
      <c r="D882" s="5"/>
      <c r="E882" s="5"/>
      <c r="F882" s="5"/>
    </row>
    <row r="883" ht="15.75" customHeight="1">
      <c r="A883" s="5"/>
      <c r="B883" s="5"/>
      <c r="C883" s="5"/>
      <c r="D883" s="5"/>
      <c r="E883" s="5"/>
      <c r="F883" s="5"/>
    </row>
    <row r="884" ht="15.75" customHeight="1">
      <c r="A884" s="5"/>
      <c r="B884" s="5"/>
      <c r="C884" s="5"/>
      <c r="D884" s="5"/>
      <c r="E884" s="5"/>
      <c r="F884" s="5"/>
    </row>
    <row r="885" ht="15.75" customHeight="1">
      <c r="A885" s="5"/>
      <c r="B885" s="5"/>
      <c r="C885" s="5"/>
      <c r="D885" s="5"/>
      <c r="E885" s="5"/>
      <c r="F885" s="5"/>
    </row>
    <row r="886" ht="15.75" customHeight="1">
      <c r="A886" s="5"/>
      <c r="B886" s="5"/>
      <c r="C886" s="5"/>
      <c r="D886" s="5"/>
      <c r="E886" s="5"/>
      <c r="F886" s="5"/>
    </row>
    <row r="887" ht="15.75" customHeight="1">
      <c r="A887" s="5"/>
      <c r="B887" s="5"/>
      <c r="C887" s="5"/>
      <c r="D887" s="5"/>
      <c r="E887" s="5"/>
      <c r="F887" s="5"/>
    </row>
    <row r="888" ht="15.75" customHeight="1">
      <c r="A888" s="5"/>
      <c r="B888" s="5"/>
      <c r="C888" s="5"/>
      <c r="D888" s="5"/>
      <c r="E888" s="5"/>
      <c r="F888" s="5"/>
    </row>
    <row r="889" ht="15.75" customHeight="1">
      <c r="A889" s="5"/>
      <c r="B889" s="5"/>
      <c r="C889" s="5"/>
      <c r="D889" s="5"/>
      <c r="E889" s="5"/>
      <c r="F889" s="5"/>
    </row>
    <row r="890" ht="15.75" customHeight="1">
      <c r="A890" s="5"/>
      <c r="B890" s="5"/>
      <c r="C890" s="5"/>
      <c r="D890" s="5"/>
      <c r="E890" s="5"/>
      <c r="F890" s="5"/>
    </row>
    <row r="891" ht="15.75" customHeight="1">
      <c r="A891" s="5"/>
      <c r="B891" s="5"/>
      <c r="C891" s="5"/>
      <c r="D891" s="5"/>
      <c r="E891" s="5"/>
      <c r="F891" s="5"/>
    </row>
    <row r="892" ht="15.75" customHeight="1">
      <c r="A892" s="5"/>
      <c r="B892" s="5"/>
      <c r="C892" s="5"/>
      <c r="D892" s="5"/>
      <c r="E892" s="5"/>
      <c r="F892" s="5"/>
    </row>
    <row r="893" ht="15.75" customHeight="1">
      <c r="A893" s="5"/>
      <c r="B893" s="5"/>
      <c r="C893" s="5"/>
      <c r="D893" s="5"/>
      <c r="E893" s="5"/>
      <c r="F893" s="5"/>
    </row>
    <row r="894" ht="15.75" customHeight="1">
      <c r="A894" s="5"/>
      <c r="B894" s="5"/>
      <c r="C894" s="5"/>
      <c r="D894" s="5"/>
      <c r="E894" s="5"/>
      <c r="F894" s="5"/>
    </row>
    <row r="895" ht="15.75" customHeight="1">
      <c r="A895" s="5"/>
      <c r="B895" s="5"/>
      <c r="C895" s="5"/>
      <c r="D895" s="5"/>
      <c r="E895" s="5"/>
      <c r="F895" s="5"/>
    </row>
    <row r="896" ht="15.75" customHeight="1">
      <c r="A896" s="5"/>
      <c r="B896" s="5"/>
      <c r="C896" s="5"/>
      <c r="D896" s="5"/>
      <c r="E896" s="5"/>
      <c r="F896" s="5"/>
    </row>
    <row r="897" ht="15.75" customHeight="1">
      <c r="A897" s="5"/>
      <c r="B897" s="5"/>
      <c r="C897" s="5"/>
      <c r="D897" s="5"/>
      <c r="E897" s="5"/>
      <c r="F897" s="5"/>
    </row>
    <row r="898" ht="15.75" customHeight="1">
      <c r="A898" s="5"/>
      <c r="B898" s="5"/>
      <c r="C898" s="5"/>
      <c r="D898" s="5"/>
      <c r="E898" s="5"/>
      <c r="F898" s="5"/>
    </row>
    <row r="899" ht="15.75" customHeight="1">
      <c r="A899" s="5"/>
      <c r="B899" s="5"/>
      <c r="C899" s="5"/>
      <c r="D899" s="5"/>
      <c r="E899" s="5"/>
      <c r="F899" s="5"/>
    </row>
    <row r="900" ht="15.75" customHeight="1">
      <c r="A900" s="5"/>
      <c r="B900" s="5"/>
      <c r="C900" s="5"/>
      <c r="D900" s="5"/>
      <c r="E900" s="5"/>
      <c r="F900" s="5"/>
    </row>
    <row r="901" ht="15.75" customHeight="1">
      <c r="A901" s="5"/>
      <c r="B901" s="5"/>
      <c r="C901" s="5"/>
      <c r="D901" s="5"/>
      <c r="E901" s="5"/>
      <c r="F901" s="5"/>
    </row>
    <row r="902" ht="15.75" customHeight="1">
      <c r="A902" s="5"/>
      <c r="B902" s="5"/>
      <c r="C902" s="5"/>
      <c r="D902" s="5"/>
      <c r="E902" s="5"/>
      <c r="F902" s="5"/>
    </row>
    <row r="903" ht="15.75" customHeight="1">
      <c r="A903" s="5"/>
      <c r="B903" s="5"/>
      <c r="C903" s="5"/>
      <c r="D903" s="5"/>
      <c r="E903" s="5"/>
      <c r="F903" s="5"/>
    </row>
    <row r="904" ht="15.75" customHeight="1">
      <c r="A904" s="5"/>
      <c r="B904" s="5"/>
      <c r="C904" s="5"/>
      <c r="D904" s="5"/>
      <c r="E904" s="5"/>
      <c r="F904" s="5"/>
    </row>
    <row r="905" ht="15.75" customHeight="1">
      <c r="A905" s="5"/>
      <c r="B905" s="5"/>
      <c r="C905" s="5"/>
      <c r="D905" s="5"/>
      <c r="E905" s="5"/>
      <c r="F905" s="5"/>
    </row>
    <row r="906" ht="15.75" customHeight="1">
      <c r="A906" s="5"/>
      <c r="B906" s="5"/>
      <c r="C906" s="5"/>
      <c r="D906" s="5"/>
      <c r="E906" s="5"/>
      <c r="F906" s="5"/>
    </row>
    <row r="907" ht="15.75" customHeight="1">
      <c r="A907" s="5"/>
      <c r="B907" s="5"/>
      <c r="C907" s="5"/>
      <c r="D907" s="5"/>
      <c r="E907" s="5"/>
      <c r="F907" s="5"/>
    </row>
    <row r="908" ht="15.75" customHeight="1">
      <c r="A908" s="5"/>
      <c r="B908" s="5"/>
      <c r="C908" s="5"/>
      <c r="D908" s="5"/>
      <c r="E908" s="5"/>
      <c r="F908" s="5"/>
    </row>
    <row r="909" ht="15.75" customHeight="1">
      <c r="A909" s="5"/>
      <c r="B909" s="5"/>
      <c r="C909" s="5"/>
      <c r="D909" s="5"/>
      <c r="E909" s="5"/>
      <c r="F909" s="5"/>
    </row>
    <row r="910" ht="15.75" customHeight="1">
      <c r="A910" s="5"/>
      <c r="B910" s="5"/>
      <c r="C910" s="5"/>
      <c r="D910" s="5"/>
      <c r="E910" s="5"/>
      <c r="F910" s="5"/>
    </row>
    <row r="911" ht="15.75" customHeight="1">
      <c r="A911" s="5"/>
      <c r="B911" s="5"/>
      <c r="C911" s="5"/>
      <c r="D911" s="5"/>
      <c r="E911" s="5"/>
      <c r="F911" s="5"/>
    </row>
    <row r="912" ht="15.75" customHeight="1">
      <c r="A912" s="5"/>
      <c r="B912" s="5"/>
      <c r="C912" s="5"/>
      <c r="D912" s="5"/>
      <c r="E912" s="5"/>
      <c r="F912" s="5"/>
    </row>
    <row r="913" ht="15.75" customHeight="1">
      <c r="A913" s="5"/>
      <c r="B913" s="5"/>
      <c r="C913" s="5"/>
      <c r="D913" s="5"/>
      <c r="E913" s="5"/>
      <c r="F913" s="5"/>
    </row>
    <row r="914" ht="15.75" customHeight="1">
      <c r="A914" s="5"/>
      <c r="B914" s="5"/>
      <c r="C914" s="5"/>
      <c r="D914" s="5"/>
      <c r="E914" s="5"/>
      <c r="F914" s="5"/>
    </row>
    <row r="915" ht="15.75" customHeight="1">
      <c r="A915" s="5"/>
      <c r="B915" s="5"/>
      <c r="C915" s="5"/>
      <c r="D915" s="5"/>
      <c r="E915" s="5"/>
      <c r="F915" s="5"/>
    </row>
    <row r="916" ht="15.75" customHeight="1">
      <c r="A916" s="5"/>
      <c r="B916" s="5"/>
      <c r="C916" s="5"/>
      <c r="D916" s="5"/>
      <c r="E916" s="5"/>
      <c r="F916" s="5"/>
    </row>
    <row r="917" ht="15.75" customHeight="1">
      <c r="A917" s="5"/>
      <c r="B917" s="5"/>
      <c r="C917" s="5"/>
      <c r="D917" s="5"/>
      <c r="E917" s="5"/>
      <c r="F917" s="5"/>
    </row>
    <row r="918" ht="15.75" customHeight="1">
      <c r="A918" s="5"/>
      <c r="B918" s="5"/>
      <c r="C918" s="5"/>
      <c r="D918" s="5"/>
      <c r="E918" s="5"/>
      <c r="F918" s="5"/>
    </row>
    <row r="919" ht="15.75" customHeight="1">
      <c r="A919" s="5"/>
      <c r="B919" s="5"/>
      <c r="C919" s="5"/>
      <c r="D919" s="5"/>
      <c r="E919" s="5"/>
      <c r="F919" s="5"/>
    </row>
    <row r="920" ht="15.75" customHeight="1">
      <c r="A920" s="5"/>
      <c r="B920" s="5"/>
      <c r="C920" s="5"/>
      <c r="D920" s="5"/>
      <c r="E920" s="5"/>
      <c r="F920" s="5"/>
    </row>
    <row r="921" ht="15.75" customHeight="1">
      <c r="A921" s="5"/>
      <c r="B921" s="5"/>
      <c r="C921" s="5"/>
      <c r="D921" s="5"/>
      <c r="E921" s="5"/>
      <c r="F921" s="5"/>
    </row>
    <row r="922" ht="15.75" customHeight="1">
      <c r="A922" s="5"/>
      <c r="B922" s="5"/>
      <c r="C922" s="5"/>
      <c r="D922" s="5"/>
      <c r="E922" s="5"/>
      <c r="F922" s="5"/>
    </row>
    <row r="923" ht="15.75" customHeight="1">
      <c r="A923" s="5"/>
      <c r="B923" s="5"/>
      <c r="C923" s="5"/>
      <c r="D923" s="5"/>
      <c r="E923" s="5"/>
      <c r="F923" s="5"/>
    </row>
    <row r="924" ht="15.75" customHeight="1">
      <c r="A924" s="5"/>
      <c r="B924" s="5"/>
      <c r="C924" s="5"/>
      <c r="D924" s="5"/>
      <c r="E924" s="5"/>
      <c r="F924" s="5"/>
    </row>
    <row r="925" ht="15.75" customHeight="1">
      <c r="A925" s="5"/>
      <c r="B925" s="5"/>
      <c r="C925" s="5"/>
      <c r="D925" s="5"/>
      <c r="E925" s="5"/>
      <c r="F925" s="5"/>
    </row>
    <row r="926" ht="15.75" customHeight="1">
      <c r="A926" s="5"/>
      <c r="B926" s="5"/>
      <c r="C926" s="5"/>
      <c r="D926" s="5"/>
      <c r="E926" s="5"/>
      <c r="F926" s="5"/>
    </row>
    <row r="927" ht="15.75" customHeight="1">
      <c r="A927" s="5"/>
      <c r="B927" s="5"/>
      <c r="C927" s="5"/>
      <c r="D927" s="5"/>
      <c r="E927" s="5"/>
      <c r="F927" s="5"/>
    </row>
    <row r="928" ht="15.75" customHeight="1">
      <c r="A928" s="5"/>
      <c r="B928" s="5"/>
      <c r="C928" s="5"/>
      <c r="D928" s="5"/>
      <c r="E928" s="5"/>
      <c r="F928" s="5"/>
    </row>
    <row r="929" ht="15.75" customHeight="1">
      <c r="A929" s="5"/>
      <c r="B929" s="5"/>
      <c r="C929" s="5"/>
      <c r="D929" s="5"/>
      <c r="E929" s="5"/>
      <c r="F929" s="5"/>
    </row>
    <row r="930" ht="15.75" customHeight="1">
      <c r="A930" s="5"/>
      <c r="B930" s="5"/>
      <c r="C930" s="5"/>
      <c r="D930" s="5"/>
      <c r="E930" s="5"/>
      <c r="F930" s="5"/>
    </row>
    <row r="931" ht="15.75" customHeight="1">
      <c r="A931" s="5"/>
      <c r="B931" s="5"/>
      <c r="C931" s="5"/>
      <c r="D931" s="5"/>
      <c r="E931" s="5"/>
      <c r="F931" s="5"/>
    </row>
    <row r="932" ht="15.75" customHeight="1">
      <c r="A932" s="5"/>
      <c r="B932" s="5"/>
      <c r="C932" s="5"/>
      <c r="D932" s="5"/>
      <c r="E932" s="5"/>
      <c r="F932" s="5"/>
    </row>
    <row r="933" ht="15.75" customHeight="1">
      <c r="A933" s="5"/>
      <c r="B933" s="5"/>
      <c r="C933" s="5"/>
      <c r="D933" s="5"/>
      <c r="E933" s="5"/>
      <c r="F933" s="5"/>
    </row>
    <row r="934" ht="15.75" customHeight="1">
      <c r="A934" s="5"/>
      <c r="B934" s="5"/>
      <c r="C934" s="5"/>
      <c r="D934" s="5"/>
      <c r="E934" s="5"/>
      <c r="F934" s="5"/>
    </row>
    <row r="935" ht="15.75" customHeight="1">
      <c r="A935" s="5"/>
      <c r="B935" s="5"/>
      <c r="C935" s="5"/>
      <c r="D935" s="5"/>
      <c r="E935" s="5"/>
      <c r="F935" s="5"/>
    </row>
    <row r="936" ht="15.75" customHeight="1">
      <c r="A936" s="5"/>
      <c r="B936" s="5"/>
      <c r="C936" s="5"/>
      <c r="D936" s="5"/>
      <c r="E936" s="5"/>
      <c r="F936" s="5"/>
    </row>
    <row r="937" ht="15.75" customHeight="1">
      <c r="A937" s="5"/>
      <c r="B937" s="5"/>
      <c r="C937" s="5"/>
      <c r="D937" s="5"/>
      <c r="E937" s="5"/>
      <c r="F937" s="5"/>
    </row>
    <row r="938" ht="15.75" customHeight="1">
      <c r="A938" s="5"/>
      <c r="B938" s="5"/>
      <c r="C938" s="5"/>
      <c r="D938" s="5"/>
      <c r="E938" s="5"/>
      <c r="F938" s="5"/>
    </row>
    <row r="939" ht="15.75" customHeight="1">
      <c r="A939" s="5"/>
      <c r="B939" s="5"/>
      <c r="C939" s="5"/>
      <c r="D939" s="5"/>
      <c r="E939" s="5"/>
      <c r="F939" s="5"/>
    </row>
    <row r="940" ht="15.75" customHeight="1">
      <c r="A940" s="5"/>
      <c r="B940" s="5"/>
      <c r="C940" s="5"/>
      <c r="D940" s="5"/>
      <c r="E940" s="5"/>
      <c r="F940" s="5"/>
    </row>
    <row r="941" ht="15.75" customHeight="1">
      <c r="A941" s="5"/>
      <c r="B941" s="5"/>
      <c r="C941" s="5"/>
      <c r="D941" s="5"/>
      <c r="E941" s="5"/>
      <c r="F941" s="5"/>
    </row>
    <row r="942" ht="15.75" customHeight="1">
      <c r="A942" s="5"/>
      <c r="B942" s="5"/>
      <c r="C942" s="5"/>
      <c r="D942" s="5"/>
      <c r="E942" s="5"/>
      <c r="F942" s="5"/>
    </row>
    <row r="943" ht="15.75" customHeight="1">
      <c r="A943" s="5"/>
      <c r="B943" s="5"/>
      <c r="C943" s="5"/>
      <c r="D943" s="5"/>
      <c r="E943" s="5"/>
      <c r="F943" s="5"/>
    </row>
    <row r="944" ht="15.75" customHeight="1">
      <c r="A944" s="5"/>
      <c r="B944" s="5"/>
      <c r="C944" s="5"/>
      <c r="D944" s="5"/>
      <c r="E944" s="5"/>
      <c r="F944" s="5"/>
    </row>
    <row r="945" ht="15.75" customHeight="1">
      <c r="A945" s="5"/>
      <c r="B945" s="5"/>
      <c r="C945" s="5"/>
      <c r="D945" s="5"/>
      <c r="E945" s="5"/>
      <c r="F945" s="5"/>
    </row>
    <row r="946" ht="15.75" customHeight="1">
      <c r="A946" s="5"/>
      <c r="B946" s="5"/>
      <c r="C946" s="5"/>
      <c r="D946" s="5"/>
      <c r="E946" s="5"/>
      <c r="F946" s="5"/>
    </row>
    <row r="947" ht="15.75" customHeight="1">
      <c r="A947" s="5"/>
      <c r="B947" s="5"/>
      <c r="C947" s="5"/>
      <c r="D947" s="5"/>
      <c r="E947" s="5"/>
      <c r="F947" s="5"/>
    </row>
    <row r="948" ht="15.75" customHeight="1">
      <c r="A948" s="5"/>
      <c r="B948" s="5"/>
      <c r="C948" s="5"/>
      <c r="D948" s="5"/>
      <c r="E948" s="5"/>
      <c r="F948" s="5"/>
    </row>
    <row r="949" ht="15.75" customHeight="1">
      <c r="A949" s="5"/>
      <c r="B949" s="5"/>
      <c r="C949" s="5"/>
      <c r="D949" s="5"/>
      <c r="E949" s="5"/>
      <c r="F949" s="5"/>
    </row>
    <row r="950" ht="15.75" customHeight="1">
      <c r="A950" s="5"/>
      <c r="B950" s="5"/>
      <c r="C950" s="5"/>
      <c r="D950" s="5"/>
      <c r="E950" s="5"/>
      <c r="F950" s="5"/>
    </row>
    <row r="951" ht="15.75" customHeight="1">
      <c r="A951" s="5"/>
      <c r="B951" s="5"/>
      <c r="C951" s="5"/>
      <c r="D951" s="5"/>
      <c r="E951" s="5"/>
      <c r="F951" s="5"/>
    </row>
    <row r="952" ht="15.75" customHeight="1">
      <c r="A952" s="5"/>
      <c r="B952" s="5"/>
      <c r="C952" s="5"/>
      <c r="D952" s="5"/>
      <c r="E952" s="5"/>
      <c r="F952" s="5"/>
    </row>
    <row r="953" ht="15.75" customHeight="1">
      <c r="A953" s="5"/>
      <c r="B953" s="5"/>
      <c r="C953" s="5"/>
      <c r="D953" s="5"/>
      <c r="E953" s="5"/>
      <c r="F953" s="5"/>
    </row>
    <row r="954" ht="15.75" customHeight="1">
      <c r="A954" s="5"/>
      <c r="B954" s="5"/>
      <c r="C954" s="5"/>
      <c r="D954" s="5"/>
      <c r="E954" s="5"/>
      <c r="F954" s="5"/>
    </row>
    <row r="955" ht="15.75" customHeight="1">
      <c r="A955" s="5"/>
      <c r="B955" s="5"/>
      <c r="C955" s="5"/>
      <c r="D955" s="5"/>
      <c r="E955" s="5"/>
      <c r="F955" s="5"/>
    </row>
    <row r="956" ht="15.75" customHeight="1">
      <c r="A956" s="5"/>
      <c r="B956" s="5"/>
      <c r="C956" s="5"/>
      <c r="D956" s="5"/>
      <c r="E956" s="5"/>
      <c r="F956" s="5"/>
    </row>
    <row r="957" ht="15.75" customHeight="1">
      <c r="A957" s="5"/>
      <c r="B957" s="5"/>
      <c r="C957" s="5"/>
      <c r="D957" s="5"/>
      <c r="E957" s="5"/>
      <c r="F957" s="5"/>
    </row>
    <row r="958" ht="15.75" customHeight="1">
      <c r="A958" s="5"/>
      <c r="B958" s="5"/>
      <c r="C958" s="5"/>
      <c r="D958" s="5"/>
      <c r="E958" s="5"/>
      <c r="F958" s="5"/>
    </row>
    <row r="959" ht="15.75" customHeight="1">
      <c r="A959" s="5"/>
      <c r="B959" s="5"/>
      <c r="C959" s="5"/>
      <c r="D959" s="5"/>
      <c r="E959" s="5"/>
      <c r="F959" s="5"/>
    </row>
    <row r="960" ht="15.75" customHeight="1">
      <c r="A960" s="5"/>
      <c r="B960" s="5"/>
      <c r="C960" s="5"/>
      <c r="D960" s="5"/>
      <c r="E960" s="5"/>
      <c r="F960" s="5"/>
    </row>
    <row r="961" ht="15.75" customHeight="1">
      <c r="A961" s="5"/>
      <c r="B961" s="5"/>
      <c r="C961" s="5"/>
      <c r="D961" s="5"/>
      <c r="E961" s="5"/>
      <c r="F961" s="5"/>
    </row>
    <row r="962" ht="15.75" customHeight="1">
      <c r="A962" s="5"/>
      <c r="B962" s="5"/>
      <c r="C962" s="5"/>
      <c r="D962" s="5"/>
      <c r="E962" s="5"/>
      <c r="F962" s="5"/>
    </row>
    <row r="963" ht="15.75" customHeight="1">
      <c r="A963" s="5"/>
      <c r="B963" s="5"/>
      <c r="C963" s="5"/>
      <c r="D963" s="5"/>
      <c r="E963" s="5"/>
      <c r="F963" s="5"/>
    </row>
    <row r="964" ht="15.75" customHeight="1">
      <c r="A964" s="5"/>
      <c r="B964" s="5"/>
      <c r="C964" s="5"/>
      <c r="D964" s="5"/>
      <c r="E964" s="5"/>
      <c r="F964" s="5"/>
    </row>
    <row r="965" ht="15.75" customHeight="1">
      <c r="A965" s="5"/>
      <c r="B965" s="5"/>
      <c r="C965" s="5"/>
      <c r="D965" s="5"/>
      <c r="E965" s="5"/>
      <c r="F965" s="5"/>
    </row>
    <row r="966" ht="15.75" customHeight="1">
      <c r="A966" s="5"/>
      <c r="B966" s="5"/>
      <c r="C966" s="5"/>
      <c r="D966" s="5"/>
      <c r="E966" s="5"/>
      <c r="F966" s="5"/>
    </row>
    <row r="967" ht="15.75" customHeight="1">
      <c r="A967" s="5"/>
      <c r="B967" s="5"/>
      <c r="C967" s="5"/>
      <c r="D967" s="5"/>
      <c r="E967" s="5"/>
      <c r="F967" s="5"/>
    </row>
    <row r="968" ht="15.75" customHeight="1">
      <c r="A968" s="5"/>
      <c r="B968" s="5"/>
      <c r="C968" s="5"/>
      <c r="D968" s="5"/>
      <c r="E968" s="5"/>
      <c r="F968" s="5"/>
    </row>
    <row r="969" ht="15.75" customHeight="1">
      <c r="A969" s="5"/>
      <c r="B969" s="5"/>
      <c r="C969" s="5"/>
      <c r="D969" s="5"/>
      <c r="E969" s="5"/>
      <c r="F969" s="5"/>
    </row>
    <row r="970" ht="15.75" customHeight="1">
      <c r="A970" s="5"/>
      <c r="B970" s="5"/>
      <c r="C970" s="5"/>
      <c r="D970" s="5"/>
      <c r="E970" s="5"/>
      <c r="F970" s="5"/>
    </row>
    <row r="971" ht="15.75" customHeight="1">
      <c r="A971" s="5"/>
      <c r="B971" s="5"/>
      <c r="C971" s="5"/>
      <c r="D971" s="5"/>
      <c r="E971" s="5"/>
      <c r="F971" s="5"/>
    </row>
    <row r="972" ht="15.75" customHeight="1">
      <c r="A972" s="5"/>
      <c r="B972" s="5"/>
      <c r="C972" s="5"/>
      <c r="D972" s="5"/>
      <c r="E972" s="5"/>
      <c r="F972" s="5"/>
    </row>
    <row r="973" ht="15.75" customHeight="1">
      <c r="A973" s="5"/>
      <c r="B973" s="5"/>
      <c r="C973" s="5"/>
      <c r="D973" s="5"/>
      <c r="E973" s="5"/>
      <c r="F973" s="5"/>
    </row>
    <row r="974" ht="15.75" customHeight="1">
      <c r="A974" s="5"/>
      <c r="B974" s="5"/>
      <c r="C974" s="5"/>
      <c r="D974" s="5"/>
      <c r="E974" s="5"/>
      <c r="F974" s="5"/>
    </row>
    <row r="975" ht="15.75" customHeight="1">
      <c r="A975" s="5"/>
      <c r="B975" s="5"/>
      <c r="C975" s="5"/>
      <c r="D975" s="5"/>
      <c r="E975" s="5"/>
      <c r="F975" s="5"/>
    </row>
    <row r="976" ht="15.75" customHeight="1">
      <c r="A976" s="5"/>
      <c r="B976" s="5"/>
      <c r="C976" s="5"/>
      <c r="D976" s="5"/>
      <c r="E976" s="5"/>
      <c r="F976" s="5"/>
    </row>
    <row r="977" ht="15.75" customHeight="1">
      <c r="A977" s="5"/>
      <c r="B977" s="5"/>
      <c r="C977" s="5"/>
      <c r="D977" s="5"/>
      <c r="E977" s="5"/>
      <c r="F977" s="5"/>
    </row>
    <row r="978" ht="15.75" customHeight="1">
      <c r="A978" s="5"/>
      <c r="B978" s="5"/>
      <c r="C978" s="5"/>
      <c r="D978" s="5"/>
      <c r="E978" s="5"/>
      <c r="F978" s="5"/>
    </row>
    <row r="979" ht="15.75" customHeight="1">
      <c r="A979" s="5"/>
      <c r="B979" s="5"/>
      <c r="C979" s="5"/>
      <c r="D979" s="5"/>
      <c r="E979" s="5"/>
      <c r="F979" s="5"/>
    </row>
    <row r="980" ht="15.75" customHeight="1">
      <c r="A980" s="5"/>
      <c r="B980" s="5"/>
      <c r="C980" s="5"/>
      <c r="D980" s="5"/>
      <c r="E980" s="5"/>
      <c r="F980" s="5"/>
    </row>
    <row r="981" ht="15.75" customHeight="1">
      <c r="A981" s="5"/>
      <c r="B981" s="5"/>
      <c r="C981" s="5"/>
      <c r="D981" s="5"/>
      <c r="E981" s="5"/>
      <c r="F981" s="5"/>
    </row>
    <row r="982" ht="15.75" customHeight="1">
      <c r="A982" s="5"/>
      <c r="B982" s="5"/>
      <c r="C982" s="5"/>
      <c r="D982" s="5"/>
      <c r="E982" s="5"/>
      <c r="F982" s="5"/>
    </row>
    <row r="983" ht="15.75" customHeight="1">
      <c r="A983" s="5"/>
      <c r="B983" s="5"/>
      <c r="C983" s="5"/>
      <c r="D983" s="5"/>
      <c r="E983" s="5"/>
      <c r="F983" s="5"/>
    </row>
    <row r="984" ht="15.75" customHeight="1">
      <c r="A984" s="5"/>
      <c r="B984" s="5"/>
      <c r="C984" s="5"/>
      <c r="D984" s="5"/>
      <c r="E984" s="5"/>
      <c r="F984" s="5"/>
    </row>
    <row r="985" ht="15.75" customHeight="1">
      <c r="A985" s="5"/>
      <c r="B985" s="5"/>
      <c r="C985" s="5"/>
      <c r="D985" s="5"/>
      <c r="E985" s="5"/>
      <c r="F985" s="5"/>
    </row>
    <row r="986" ht="15.75" customHeight="1">
      <c r="A986" s="5"/>
      <c r="B986" s="5"/>
      <c r="C986" s="5"/>
      <c r="D986" s="5"/>
      <c r="E986" s="5"/>
      <c r="F986" s="5"/>
    </row>
    <row r="987" ht="15.75" customHeight="1">
      <c r="A987" s="5"/>
      <c r="B987" s="5"/>
      <c r="C987" s="5"/>
      <c r="D987" s="5"/>
      <c r="E987" s="5"/>
      <c r="F987" s="5"/>
    </row>
    <row r="988" ht="15.75" customHeight="1">
      <c r="A988" s="5"/>
      <c r="B988" s="5"/>
      <c r="C988" s="5"/>
      <c r="D988" s="5"/>
      <c r="E988" s="5"/>
      <c r="F988" s="5"/>
    </row>
    <row r="989" ht="15.75" customHeight="1">
      <c r="A989" s="5"/>
      <c r="B989" s="5"/>
      <c r="C989" s="5"/>
      <c r="D989" s="5"/>
      <c r="E989" s="5"/>
      <c r="F989" s="5"/>
    </row>
    <row r="990" ht="15.75" customHeight="1">
      <c r="A990" s="5"/>
      <c r="B990" s="5"/>
      <c r="C990" s="5"/>
      <c r="D990" s="5"/>
      <c r="E990" s="5"/>
      <c r="F990" s="5"/>
    </row>
    <row r="991" ht="15.75" customHeight="1">
      <c r="A991" s="5"/>
      <c r="B991" s="5"/>
      <c r="C991" s="5"/>
      <c r="D991" s="5"/>
      <c r="E991" s="5"/>
      <c r="F991" s="5"/>
    </row>
    <row r="992" ht="15.75" customHeight="1">
      <c r="A992" s="5"/>
      <c r="B992" s="5"/>
      <c r="C992" s="5"/>
      <c r="D992" s="5"/>
      <c r="E992" s="5"/>
      <c r="F992" s="5"/>
    </row>
    <row r="993" ht="15.75" customHeight="1">
      <c r="A993" s="5"/>
      <c r="B993" s="5"/>
      <c r="C993" s="5"/>
      <c r="D993" s="5"/>
      <c r="E993" s="5"/>
      <c r="F993" s="5"/>
    </row>
    <row r="994" ht="15.75" customHeight="1">
      <c r="A994" s="5"/>
      <c r="B994" s="5"/>
      <c r="C994" s="5"/>
      <c r="D994" s="5"/>
      <c r="E994" s="5"/>
      <c r="F994" s="5"/>
    </row>
    <row r="995" ht="15.75" customHeight="1">
      <c r="A995" s="5"/>
      <c r="B995" s="5"/>
      <c r="C995" s="5"/>
      <c r="D995" s="5"/>
      <c r="E995" s="5"/>
      <c r="F995" s="5"/>
    </row>
    <row r="996" ht="15.75" customHeight="1">
      <c r="A996" s="5"/>
      <c r="B996" s="5"/>
      <c r="C996" s="5"/>
      <c r="D996" s="5"/>
      <c r="E996" s="5"/>
      <c r="F996" s="5"/>
    </row>
    <row r="997" ht="15.75" customHeight="1">
      <c r="A997" s="5"/>
      <c r="B997" s="5"/>
      <c r="C997" s="5"/>
      <c r="D997" s="5"/>
      <c r="E997" s="5"/>
      <c r="F997" s="5"/>
    </row>
    <row r="998" ht="15.75" customHeight="1">
      <c r="A998" s="5"/>
      <c r="B998" s="5"/>
      <c r="C998" s="5"/>
      <c r="D998" s="5"/>
      <c r="E998" s="5"/>
      <c r="F998" s="5"/>
    </row>
    <row r="999" ht="15.75" customHeight="1">
      <c r="A999" s="5"/>
      <c r="B999" s="5"/>
      <c r="C999" s="5"/>
      <c r="D999" s="5"/>
      <c r="E999" s="5"/>
      <c r="F999" s="5"/>
    </row>
    <row r="1000" ht="15.75" customHeight="1">
      <c r="A1000" s="5"/>
      <c r="B1000" s="5"/>
      <c r="C1000" s="5"/>
      <c r="D1000" s="5"/>
      <c r="E1000" s="5"/>
      <c r="F1000" s="5"/>
    </row>
  </sheetData>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8.0"/>
    <col customWidth="1" min="2" max="2" width="30.0"/>
    <col customWidth="1" min="3" max="3" width="38.0"/>
    <col customWidth="1" min="4" max="4" width="90.0"/>
    <col customWidth="1" min="5" max="5" width="70.0"/>
    <col customWidth="1" min="6" max="26" width="8.71"/>
  </cols>
  <sheetData>
    <row r="1">
      <c r="A1" s="132" t="s">
        <v>1593</v>
      </c>
      <c r="B1" s="132" t="s">
        <v>1594</v>
      </c>
      <c r="C1" s="132" t="s">
        <v>1629</v>
      </c>
      <c r="D1" s="132" t="s">
        <v>1630</v>
      </c>
      <c r="E1" s="132" t="s">
        <v>1631</v>
      </c>
    </row>
    <row r="2">
      <c r="A2" s="21">
        <v>23.0</v>
      </c>
      <c r="B2" s="21" t="s">
        <v>634</v>
      </c>
      <c r="C2" s="21" t="s">
        <v>1632</v>
      </c>
      <c r="D2" s="21" t="s">
        <v>1633</v>
      </c>
      <c r="E2" s="21" t="s">
        <v>1634</v>
      </c>
    </row>
    <row r="3">
      <c r="A3" s="21">
        <v>61.0</v>
      </c>
      <c r="B3" s="21" t="s">
        <v>1006</v>
      </c>
      <c r="C3" s="21" t="s">
        <v>1632</v>
      </c>
      <c r="D3" s="21" t="s">
        <v>1635</v>
      </c>
      <c r="E3" s="21" t="s">
        <v>1634</v>
      </c>
    </row>
    <row r="4">
      <c r="A4" s="21">
        <v>78.0</v>
      </c>
      <c r="B4" s="21" t="s">
        <v>996</v>
      </c>
      <c r="C4" s="21" t="s">
        <v>1632</v>
      </c>
      <c r="D4" s="21" t="s">
        <v>1636</v>
      </c>
      <c r="E4" s="21" t="s">
        <v>1634</v>
      </c>
    </row>
    <row r="5">
      <c r="A5" s="21">
        <v>81.0</v>
      </c>
      <c r="B5" s="21" t="s">
        <v>1414</v>
      </c>
      <c r="C5" s="21" t="s">
        <v>1632</v>
      </c>
      <c r="D5" s="21" t="s">
        <v>1637</v>
      </c>
      <c r="E5" s="21" t="s">
        <v>1634</v>
      </c>
    </row>
    <row r="6">
      <c r="A6" s="21">
        <v>61.0</v>
      </c>
      <c r="B6" s="21" t="s">
        <v>1006</v>
      </c>
      <c r="C6" s="21" t="s">
        <v>1638</v>
      </c>
      <c r="D6" s="21" t="s">
        <v>1639</v>
      </c>
      <c r="E6" s="21" t="s">
        <v>1640</v>
      </c>
    </row>
    <row r="7">
      <c r="A7" s="21">
        <v>78.0</v>
      </c>
      <c r="B7" s="21" t="s">
        <v>996</v>
      </c>
      <c r="C7" s="21" t="s">
        <v>1641</v>
      </c>
      <c r="D7" s="21" t="s">
        <v>1642</v>
      </c>
      <c r="E7" s="21" t="s">
        <v>1643</v>
      </c>
    </row>
    <row r="8">
      <c r="A8" s="21">
        <v>39.0</v>
      </c>
      <c r="B8" s="21" t="s">
        <v>908</v>
      </c>
      <c r="C8" s="21" t="s">
        <v>1644</v>
      </c>
      <c r="D8" s="21" t="s">
        <v>1645</v>
      </c>
      <c r="E8" s="21" t="s">
        <v>1646</v>
      </c>
    </row>
    <row r="9">
      <c r="A9" s="21">
        <v>39.0</v>
      </c>
      <c r="B9" s="21" t="s">
        <v>908</v>
      </c>
      <c r="C9" s="21" t="s">
        <v>1647</v>
      </c>
      <c r="D9" s="21" t="s">
        <v>1648</v>
      </c>
      <c r="E9" s="21" t="s">
        <v>1649</v>
      </c>
    </row>
    <row r="10">
      <c r="A10" s="21">
        <v>40.0</v>
      </c>
      <c r="B10" s="21" t="s">
        <v>912</v>
      </c>
      <c r="C10" s="21" t="s">
        <v>1650</v>
      </c>
      <c r="D10" s="21" t="s">
        <v>1651</v>
      </c>
      <c r="E10" s="21" t="s">
        <v>1652</v>
      </c>
    </row>
    <row r="11">
      <c r="A11" s="21">
        <v>37.0</v>
      </c>
      <c r="B11" s="21" t="s">
        <v>877</v>
      </c>
      <c r="C11" s="21" t="s">
        <v>1653</v>
      </c>
      <c r="D11" s="21" t="s">
        <v>1654</v>
      </c>
      <c r="E11" s="21" t="s">
        <v>1655</v>
      </c>
    </row>
    <row r="12">
      <c r="A12" s="21">
        <v>22.0</v>
      </c>
      <c r="B12" s="21" t="s">
        <v>610</v>
      </c>
      <c r="C12" s="21" t="s">
        <v>1656</v>
      </c>
      <c r="D12" s="21" t="s">
        <v>1657</v>
      </c>
      <c r="E12" s="21" t="s">
        <v>1658</v>
      </c>
    </row>
    <row r="13">
      <c r="A13" s="21">
        <v>103.0</v>
      </c>
      <c r="B13" s="21" t="s">
        <v>1252</v>
      </c>
      <c r="C13" s="21" t="s">
        <v>1656</v>
      </c>
      <c r="D13" s="21" t="s">
        <v>1659</v>
      </c>
      <c r="E13" s="21" t="s">
        <v>1658</v>
      </c>
    </row>
    <row r="14">
      <c r="A14" s="21">
        <v>20.0</v>
      </c>
      <c r="B14" s="21" t="s">
        <v>571</v>
      </c>
      <c r="C14" s="21" t="s">
        <v>1660</v>
      </c>
      <c r="D14" s="21" t="s">
        <v>1661</v>
      </c>
      <c r="E14" s="21" t="s">
        <v>1662</v>
      </c>
    </row>
    <row r="15">
      <c r="A15" s="21">
        <v>28.0</v>
      </c>
      <c r="B15" s="21" t="s">
        <v>717</v>
      </c>
      <c r="C15" s="21" t="s">
        <v>1660</v>
      </c>
      <c r="D15" s="21" t="s">
        <v>1663</v>
      </c>
      <c r="E15" s="21" t="s">
        <v>1662</v>
      </c>
    </row>
    <row r="16">
      <c r="A16" s="21">
        <v>30.0</v>
      </c>
      <c r="B16" s="21" t="s">
        <v>744</v>
      </c>
      <c r="C16" s="21" t="s">
        <v>1660</v>
      </c>
      <c r="D16" s="21" t="s">
        <v>1664</v>
      </c>
      <c r="E16" s="21" t="s">
        <v>1662</v>
      </c>
    </row>
    <row r="17">
      <c r="A17" s="21">
        <v>32.0</v>
      </c>
      <c r="B17" s="21" t="s">
        <v>772</v>
      </c>
      <c r="C17" s="21" t="s">
        <v>1660</v>
      </c>
      <c r="D17" s="21" t="s">
        <v>1665</v>
      </c>
      <c r="E17" s="21" t="s">
        <v>1662</v>
      </c>
    </row>
    <row r="18">
      <c r="A18" s="21">
        <v>35.0</v>
      </c>
      <c r="B18" s="21" t="s">
        <v>832</v>
      </c>
      <c r="C18" s="21" t="s">
        <v>1660</v>
      </c>
      <c r="D18" s="21" t="s">
        <v>1667</v>
      </c>
      <c r="E18" s="21" t="s">
        <v>1662</v>
      </c>
    </row>
    <row r="19">
      <c r="A19" s="21">
        <v>94.0</v>
      </c>
      <c r="B19" s="21" t="s">
        <v>1217</v>
      </c>
      <c r="C19" s="21" t="s">
        <v>1669</v>
      </c>
      <c r="D19" s="21" t="s">
        <v>1670</v>
      </c>
      <c r="E19" s="21" t="s">
        <v>1671</v>
      </c>
    </row>
    <row r="20">
      <c r="A20" s="21">
        <v>94.0</v>
      </c>
      <c r="B20" s="21" t="s">
        <v>1217</v>
      </c>
      <c r="C20" s="21" t="s">
        <v>1672</v>
      </c>
      <c r="D20" s="21" t="s">
        <v>1673</v>
      </c>
      <c r="E20" s="21" t="s">
        <v>1675</v>
      </c>
    </row>
    <row r="21" ht="15.75" customHeight="1">
      <c r="A21" s="21">
        <v>65.0</v>
      </c>
      <c r="B21" s="21" t="s">
        <v>473</v>
      </c>
      <c r="C21" s="21" t="s">
        <v>1677</v>
      </c>
      <c r="D21" s="21" t="s">
        <v>1678</v>
      </c>
      <c r="E21" s="21" t="s">
        <v>1679</v>
      </c>
    </row>
    <row r="22" ht="15.75" customHeight="1">
      <c r="A22" s="21">
        <v>45.0</v>
      </c>
      <c r="B22" s="21" t="s">
        <v>938</v>
      </c>
      <c r="C22" s="21" t="s">
        <v>1680</v>
      </c>
      <c r="D22" s="21" t="s">
        <v>1681</v>
      </c>
      <c r="E22" s="21" t="s">
        <v>1683</v>
      </c>
    </row>
    <row r="23" ht="15.75" customHeight="1">
      <c r="A23" s="21">
        <v>41.0</v>
      </c>
      <c r="B23" s="21" t="s">
        <v>916</v>
      </c>
      <c r="C23" s="21" t="s">
        <v>1684</v>
      </c>
      <c r="D23" s="21" t="s">
        <v>1685</v>
      </c>
      <c r="E23" s="21" t="s">
        <v>1686</v>
      </c>
    </row>
    <row r="24" ht="15.75" customHeight="1">
      <c r="A24" s="21" t="s">
        <v>1687</v>
      </c>
      <c r="B24" s="21" t="s">
        <v>1688</v>
      </c>
      <c r="C24" s="21" t="s">
        <v>1689</v>
      </c>
      <c r="D24" s="21" t="s">
        <v>1690</v>
      </c>
      <c r="E24" s="21" t="s">
        <v>1691</v>
      </c>
    </row>
    <row r="25" ht="15.75" customHeight="1">
      <c r="A25" s="21">
        <v>12.0</v>
      </c>
      <c r="B25" s="21" t="s">
        <v>437</v>
      </c>
      <c r="C25" s="21" t="s">
        <v>1693</v>
      </c>
      <c r="D25" s="21" t="s">
        <v>1694</v>
      </c>
      <c r="E25" s="21" t="s">
        <v>1695</v>
      </c>
    </row>
    <row r="26" ht="15.75" customHeight="1">
      <c r="A26" s="21">
        <v>17.0</v>
      </c>
      <c r="B26" s="21" t="s">
        <v>519</v>
      </c>
      <c r="C26" s="21" t="s">
        <v>1696</v>
      </c>
      <c r="D26" s="21" t="s">
        <v>1697</v>
      </c>
      <c r="E26" s="21" t="s">
        <v>1698</v>
      </c>
    </row>
    <row r="27" ht="15.75" customHeight="1">
      <c r="A27" s="21" t="s">
        <v>1700</v>
      </c>
      <c r="B27" s="21" t="s">
        <v>1701</v>
      </c>
      <c r="C27" s="21" t="s">
        <v>1702</v>
      </c>
      <c r="D27" s="21" t="s">
        <v>1703</v>
      </c>
      <c r="E27" s="21" t="s">
        <v>1704</v>
      </c>
    </row>
    <row r="28" ht="15.75" customHeight="1">
      <c r="A28" s="21">
        <v>76.0</v>
      </c>
      <c r="B28" s="21" t="s">
        <v>485</v>
      </c>
      <c r="C28" s="21" t="s">
        <v>1705</v>
      </c>
      <c r="D28" s="21" t="s">
        <v>1707</v>
      </c>
      <c r="E28" s="21" t="s">
        <v>1708</v>
      </c>
    </row>
    <row r="29" ht="15.75" customHeight="1">
      <c r="A29" s="21">
        <v>28.0</v>
      </c>
      <c r="B29" s="21" t="s">
        <v>717</v>
      </c>
      <c r="C29" s="21" t="s">
        <v>1709</v>
      </c>
      <c r="D29" s="21" t="s">
        <v>1710</v>
      </c>
      <c r="E29" s="21" t="s">
        <v>1711</v>
      </c>
    </row>
    <row r="30" ht="15.75" customHeight="1">
      <c r="A30" s="21">
        <v>31.0</v>
      </c>
      <c r="B30" s="21" t="s">
        <v>761</v>
      </c>
      <c r="C30" s="21" t="s">
        <v>1709</v>
      </c>
      <c r="D30" s="21" t="s">
        <v>1712</v>
      </c>
      <c r="E30" s="21" t="s">
        <v>1711</v>
      </c>
    </row>
    <row r="31" ht="15.75" customHeight="1">
      <c r="A31" s="21">
        <v>20.0</v>
      </c>
      <c r="B31" s="21" t="s">
        <v>571</v>
      </c>
      <c r="C31" s="21" t="s">
        <v>1709</v>
      </c>
      <c r="D31" s="21" t="s">
        <v>1713</v>
      </c>
      <c r="E31" s="21" t="s">
        <v>1711</v>
      </c>
    </row>
    <row r="32" ht="15.75" customHeight="1">
      <c r="A32" s="21">
        <v>18.0</v>
      </c>
      <c r="B32" s="21" t="s">
        <v>539</v>
      </c>
      <c r="C32" s="21" t="s">
        <v>1714</v>
      </c>
      <c r="D32" s="21" t="s">
        <v>1715</v>
      </c>
      <c r="E32" s="21" t="s">
        <v>1716</v>
      </c>
    </row>
    <row r="33" ht="15.75" customHeight="1">
      <c r="A33" s="21">
        <v>22.0</v>
      </c>
      <c r="B33" s="21" t="s">
        <v>610</v>
      </c>
      <c r="C33" s="21" t="s">
        <v>1717</v>
      </c>
      <c r="D33" s="21" t="s">
        <v>1718</v>
      </c>
      <c r="E33" s="21" t="s">
        <v>1719</v>
      </c>
    </row>
    <row r="34" ht="15.75" customHeight="1">
      <c r="A34" s="21">
        <v>24.0</v>
      </c>
      <c r="B34" s="21" t="s">
        <v>643</v>
      </c>
      <c r="C34" s="21" t="s">
        <v>1721</v>
      </c>
      <c r="D34" s="21" t="s">
        <v>1722</v>
      </c>
      <c r="E34" s="21" t="s">
        <v>1723</v>
      </c>
    </row>
    <row r="35" ht="15.75" customHeight="1">
      <c r="A35" s="21">
        <v>25.0</v>
      </c>
      <c r="B35" s="21" t="s">
        <v>661</v>
      </c>
      <c r="C35" s="21" t="s">
        <v>1724</v>
      </c>
      <c r="D35" s="21" t="s">
        <v>1725</v>
      </c>
      <c r="E35" s="21" t="s">
        <v>1727</v>
      </c>
    </row>
    <row r="36" ht="15.75" customHeight="1">
      <c r="A36" s="21">
        <v>21.0</v>
      </c>
      <c r="B36" s="21" t="s">
        <v>591</v>
      </c>
      <c r="C36" s="21" t="s">
        <v>1729</v>
      </c>
      <c r="D36" s="21" t="s">
        <v>1730</v>
      </c>
      <c r="E36" s="21" t="s">
        <v>1731</v>
      </c>
    </row>
    <row r="37" ht="15.75" customHeight="1">
      <c r="A37" s="21">
        <v>17.0</v>
      </c>
      <c r="B37" s="21" t="s">
        <v>519</v>
      </c>
      <c r="C37" s="21" t="s">
        <v>1732</v>
      </c>
      <c r="D37" s="21" t="s">
        <v>1733</v>
      </c>
      <c r="E37" s="21" t="s">
        <v>1735</v>
      </c>
    </row>
    <row r="38" ht="15.75" customHeight="1">
      <c r="A38" s="21">
        <v>18.0</v>
      </c>
      <c r="B38" s="21" t="s">
        <v>539</v>
      </c>
      <c r="C38" s="21" t="s">
        <v>1732</v>
      </c>
      <c r="D38" s="21" t="s">
        <v>1736</v>
      </c>
      <c r="E38" s="21" t="s">
        <v>1735</v>
      </c>
    </row>
    <row r="39" ht="15.75" customHeight="1">
      <c r="A39" s="21">
        <v>22.0</v>
      </c>
      <c r="B39" s="21" t="s">
        <v>610</v>
      </c>
      <c r="C39" s="21" t="s">
        <v>1732</v>
      </c>
      <c r="D39" s="21" t="s">
        <v>1736</v>
      </c>
      <c r="E39" s="21" t="s">
        <v>1735</v>
      </c>
    </row>
    <row r="40" ht="15.75" customHeight="1">
      <c r="A40" s="21">
        <v>24.0</v>
      </c>
      <c r="B40" s="21" t="s">
        <v>643</v>
      </c>
      <c r="C40" s="21" t="s">
        <v>1732</v>
      </c>
      <c r="D40" s="21" t="s">
        <v>1736</v>
      </c>
      <c r="E40" s="21" t="s">
        <v>1735</v>
      </c>
    </row>
    <row r="41" ht="15.75" customHeight="1">
      <c r="A41" s="21">
        <v>25.0</v>
      </c>
      <c r="B41" s="21" t="s">
        <v>661</v>
      </c>
      <c r="C41" s="21" t="s">
        <v>1732</v>
      </c>
      <c r="D41" s="21" t="s">
        <v>1736</v>
      </c>
      <c r="E41" s="21" t="s">
        <v>1735</v>
      </c>
    </row>
    <row r="42" ht="15.75" customHeight="1">
      <c r="A42" s="21">
        <v>32.0</v>
      </c>
      <c r="B42" s="21" t="s">
        <v>772</v>
      </c>
      <c r="C42" s="21" t="s">
        <v>1738</v>
      </c>
      <c r="D42" s="21" t="s">
        <v>1739</v>
      </c>
      <c r="E42" s="21" t="s">
        <v>1741</v>
      </c>
    </row>
    <row r="43" ht="15.75" customHeight="1">
      <c r="A43" s="21">
        <v>34.0</v>
      </c>
      <c r="B43" s="21" t="s">
        <v>810</v>
      </c>
      <c r="C43" s="21" t="s">
        <v>1742</v>
      </c>
      <c r="D43" s="21" t="s">
        <v>1743</v>
      </c>
      <c r="E43" s="21" t="s">
        <v>1744</v>
      </c>
    </row>
    <row r="44" ht="15.75" customHeight="1">
      <c r="A44" s="21">
        <v>39.0</v>
      </c>
      <c r="B44" s="21" t="s">
        <v>908</v>
      </c>
      <c r="C44" s="21" t="s">
        <v>1745</v>
      </c>
      <c r="D44" s="21" t="s">
        <v>1747</v>
      </c>
      <c r="E44" s="21" t="s">
        <v>1748</v>
      </c>
    </row>
    <row r="45" ht="15.75" customHeight="1">
      <c r="A45" s="21">
        <v>40.0</v>
      </c>
      <c r="B45" s="21" t="s">
        <v>912</v>
      </c>
      <c r="C45" s="21" t="s">
        <v>1749</v>
      </c>
      <c r="D45" s="21" t="s">
        <v>1750</v>
      </c>
      <c r="E45" s="21" t="s">
        <v>1751</v>
      </c>
    </row>
    <row r="46" ht="15.75" customHeight="1">
      <c r="A46" s="21">
        <v>41.0</v>
      </c>
      <c r="B46" s="21" t="s">
        <v>916</v>
      </c>
      <c r="C46" s="21" t="s">
        <v>1752</v>
      </c>
      <c r="D46" s="21" t="s">
        <v>1754</v>
      </c>
      <c r="E46" s="21" t="s">
        <v>1755</v>
      </c>
    </row>
    <row r="47" ht="15.75" customHeight="1">
      <c r="A47" s="21">
        <v>42.0</v>
      </c>
      <c r="B47" s="21" t="s">
        <v>923</v>
      </c>
      <c r="C47" s="21" t="s">
        <v>1756</v>
      </c>
      <c r="D47" s="21" t="s">
        <v>1757</v>
      </c>
      <c r="E47" s="21" t="s">
        <v>1758</v>
      </c>
    </row>
    <row r="48" ht="15.75" customHeight="1">
      <c r="A48" s="21" t="s">
        <v>1700</v>
      </c>
      <c r="B48" s="21" t="s">
        <v>1701</v>
      </c>
      <c r="C48" s="21" t="s">
        <v>1759</v>
      </c>
      <c r="D48" s="21" t="s">
        <v>1761</v>
      </c>
      <c r="E48" s="21" t="s">
        <v>1762</v>
      </c>
    </row>
    <row r="49" ht="15.75" customHeight="1">
      <c r="A49" s="21">
        <v>17.0</v>
      </c>
      <c r="B49" s="21" t="s">
        <v>519</v>
      </c>
      <c r="C49" s="21" t="s">
        <v>1763</v>
      </c>
      <c r="D49" s="21" t="s">
        <v>1764</v>
      </c>
      <c r="E49" s="21" t="s">
        <v>1765</v>
      </c>
    </row>
    <row r="50" ht="15.75" customHeight="1">
      <c r="A50" s="21">
        <v>22.0</v>
      </c>
      <c r="B50" s="21" t="s">
        <v>610</v>
      </c>
      <c r="C50" s="21" t="s">
        <v>1766</v>
      </c>
      <c r="D50" s="21" t="s">
        <v>1768</v>
      </c>
      <c r="E50" s="21" t="s">
        <v>1769</v>
      </c>
    </row>
    <row r="51" ht="15.75" customHeight="1">
      <c r="A51" s="21">
        <v>24.0</v>
      </c>
      <c r="B51" s="21" t="s">
        <v>643</v>
      </c>
      <c r="C51" s="21" t="s">
        <v>1770</v>
      </c>
      <c r="D51" s="21" t="s">
        <v>1771</v>
      </c>
      <c r="E51" s="21" t="s">
        <v>1772</v>
      </c>
    </row>
    <row r="52" ht="15.75" customHeight="1">
      <c r="A52" s="21">
        <v>59.0</v>
      </c>
      <c r="B52" s="21" t="s">
        <v>1028</v>
      </c>
      <c r="C52" s="21" t="s">
        <v>1774</v>
      </c>
      <c r="D52" s="21" t="s">
        <v>1775</v>
      </c>
      <c r="E52" s="21" t="s">
        <v>1776</v>
      </c>
    </row>
    <row r="53" ht="15.75" customHeight="1">
      <c r="A53" s="21">
        <v>22.0</v>
      </c>
      <c r="B53" s="21" t="s">
        <v>610</v>
      </c>
      <c r="C53" s="21" t="s">
        <v>1732</v>
      </c>
      <c r="D53" s="21" t="s">
        <v>1777</v>
      </c>
      <c r="E53" s="21" t="s">
        <v>1778</v>
      </c>
    </row>
    <row r="54" ht="15.75" customHeight="1">
      <c r="A54" s="21">
        <v>70.0</v>
      </c>
      <c r="B54" s="21" t="s">
        <v>1011</v>
      </c>
      <c r="C54" s="21" t="s">
        <v>1780</v>
      </c>
      <c r="D54" s="21" t="s">
        <v>1781</v>
      </c>
      <c r="E54" s="21" t="s">
        <v>1782</v>
      </c>
    </row>
    <row r="55" ht="15.75" customHeight="1">
      <c r="A55" s="21">
        <v>90.0</v>
      </c>
      <c r="B55" s="21" t="s">
        <v>1198</v>
      </c>
      <c r="C55" s="21" t="s">
        <v>1783</v>
      </c>
      <c r="D55" s="21" t="s">
        <v>1784</v>
      </c>
      <c r="E55" s="21" t="s">
        <v>1785</v>
      </c>
    </row>
    <row r="56" ht="15.75" customHeight="1">
      <c r="A56" s="21">
        <v>96.0</v>
      </c>
      <c r="B56" s="21" t="s">
        <v>1226</v>
      </c>
      <c r="C56" s="21" t="s">
        <v>1787</v>
      </c>
      <c r="D56" s="21" t="s">
        <v>1788</v>
      </c>
      <c r="E56" s="21" t="s">
        <v>1789</v>
      </c>
    </row>
    <row r="57" ht="15.75" customHeight="1">
      <c r="A57" s="21">
        <v>60.0</v>
      </c>
      <c r="B57" s="21" t="s">
        <v>1034</v>
      </c>
      <c r="C57" s="21" t="s">
        <v>1790</v>
      </c>
      <c r="D57" s="21" t="s">
        <v>1791</v>
      </c>
      <c r="E57" s="21" t="s">
        <v>1792</v>
      </c>
    </row>
    <row r="58" ht="15.75" customHeight="1">
      <c r="A58" s="21">
        <v>51.0</v>
      </c>
      <c r="B58" s="21" t="s">
        <v>982</v>
      </c>
      <c r="C58" s="21" t="s">
        <v>1794</v>
      </c>
      <c r="D58" s="21" t="s">
        <v>1795</v>
      </c>
      <c r="E58" s="21" t="s">
        <v>1796</v>
      </c>
    </row>
    <row r="59" ht="15.75" customHeight="1">
      <c r="A59" s="21">
        <v>2.0</v>
      </c>
      <c r="B59" s="21" t="s">
        <v>85</v>
      </c>
      <c r="C59" s="21" t="s">
        <v>1797</v>
      </c>
      <c r="D59" s="21" t="s">
        <v>1798</v>
      </c>
      <c r="E59" s="21" t="s">
        <v>1799</v>
      </c>
    </row>
    <row r="60" ht="15.75" customHeight="1">
      <c r="A60" s="21">
        <v>47.0</v>
      </c>
      <c r="B60" s="21" t="s">
        <v>946</v>
      </c>
      <c r="C60" s="21" t="s">
        <v>1801</v>
      </c>
      <c r="D60" s="21" t="s">
        <v>1803</v>
      </c>
      <c r="E60" s="21" t="s">
        <v>1804</v>
      </c>
    </row>
    <row r="61" ht="15.75" customHeight="1">
      <c r="A61" s="21">
        <v>54.0</v>
      </c>
      <c r="B61" s="21" t="s">
        <v>1001</v>
      </c>
      <c r="C61" s="21" t="s">
        <v>1805</v>
      </c>
      <c r="D61" s="21" t="s">
        <v>1806</v>
      </c>
      <c r="E61" s="21" t="s">
        <v>1808</v>
      </c>
    </row>
    <row r="62" ht="15.75" customHeight="1">
      <c r="A62" s="21">
        <v>62.0</v>
      </c>
      <c r="B62" s="21" t="s">
        <v>1044</v>
      </c>
      <c r="C62" s="21" t="s">
        <v>1809</v>
      </c>
      <c r="D62" s="21" t="s">
        <v>1810</v>
      </c>
      <c r="E62" s="21" t="s">
        <v>1811</v>
      </c>
    </row>
    <row r="63" ht="15.75" customHeight="1">
      <c r="A63" s="21">
        <v>74.0</v>
      </c>
      <c r="B63" s="21" t="s">
        <v>1118</v>
      </c>
      <c r="C63" s="21" t="s">
        <v>1812</v>
      </c>
      <c r="D63" s="21" t="s">
        <v>1814</v>
      </c>
      <c r="E63" s="21" t="s">
        <v>1815</v>
      </c>
    </row>
    <row r="64" ht="15.75" customHeight="1">
      <c r="A64" s="21">
        <v>93.0</v>
      </c>
      <c r="B64" s="21" t="s">
        <v>1210</v>
      </c>
      <c r="C64" s="21" t="s">
        <v>1812</v>
      </c>
      <c r="D64" s="21" t="s">
        <v>1816</v>
      </c>
      <c r="E64" s="21" t="s">
        <v>1815</v>
      </c>
    </row>
    <row r="65" ht="15.75" customHeight="1">
      <c r="A65" s="21">
        <v>102.0</v>
      </c>
      <c r="B65" s="21" t="s">
        <v>1248</v>
      </c>
      <c r="C65" s="21" t="s">
        <v>1812</v>
      </c>
      <c r="D65" s="21" t="s">
        <v>1818</v>
      </c>
      <c r="E65" s="21" t="s">
        <v>1815</v>
      </c>
    </row>
    <row r="66" ht="15.75" customHeight="1">
      <c r="A66" s="21">
        <v>91.0</v>
      </c>
      <c r="B66" s="21" t="s">
        <v>1201</v>
      </c>
      <c r="C66" s="21" t="s">
        <v>1812</v>
      </c>
      <c r="D66" s="21" t="s">
        <v>1820</v>
      </c>
      <c r="E66" s="21" t="s">
        <v>1815</v>
      </c>
    </row>
    <row r="67" ht="15.75" customHeight="1">
      <c r="A67" s="21">
        <v>89.0</v>
      </c>
      <c r="B67" s="21" t="s">
        <v>1194</v>
      </c>
      <c r="C67" s="21" t="s">
        <v>1812</v>
      </c>
      <c r="D67" s="21" t="s">
        <v>1822</v>
      </c>
      <c r="E67" s="21" t="s">
        <v>1815</v>
      </c>
    </row>
    <row r="68" ht="15.75" customHeight="1">
      <c r="A68" s="21">
        <v>99.0</v>
      </c>
      <c r="B68" s="21" t="s">
        <v>1237</v>
      </c>
      <c r="C68" s="21" t="s">
        <v>1812</v>
      </c>
      <c r="D68" s="21" t="s">
        <v>1824</v>
      </c>
      <c r="E68" s="21" t="s">
        <v>1815</v>
      </c>
    </row>
    <row r="69" ht="15.75" customHeight="1">
      <c r="A69" s="21">
        <v>108.0</v>
      </c>
      <c r="B69" s="21" t="s">
        <v>1281</v>
      </c>
      <c r="C69" s="21" t="s">
        <v>1812</v>
      </c>
      <c r="D69" s="21" t="s">
        <v>1826</v>
      </c>
      <c r="E69" s="21" t="s">
        <v>1815</v>
      </c>
    </row>
    <row r="70" ht="15.75" customHeight="1">
      <c r="A70" s="21">
        <v>104.0</v>
      </c>
      <c r="B70" s="21" t="s">
        <v>1259</v>
      </c>
      <c r="C70" s="21" t="s">
        <v>1812</v>
      </c>
      <c r="D70" s="21" t="s">
        <v>1827</v>
      </c>
      <c r="E70" s="21" t="s">
        <v>1815</v>
      </c>
    </row>
    <row r="71" ht="15.75" customHeight="1">
      <c r="A71" s="21">
        <v>84.0</v>
      </c>
      <c r="B71" s="21" t="s">
        <v>1166</v>
      </c>
      <c r="C71" s="21" t="s">
        <v>1812</v>
      </c>
      <c r="D71" s="21" t="s">
        <v>1829</v>
      </c>
      <c r="E71" s="21" t="s">
        <v>1815</v>
      </c>
    </row>
    <row r="72" ht="15.75" customHeight="1">
      <c r="A72" s="21">
        <v>79.0</v>
      </c>
      <c r="B72" s="21" t="s">
        <v>1140</v>
      </c>
      <c r="C72" s="21" t="s">
        <v>1830</v>
      </c>
      <c r="D72" s="21" t="s">
        <v>1831</v>
      </c>
      <c r="E72" s="21" t="s">
        <v>1832</v>
      </c>
    </row>
    <row r="73" ht="15.75" customHeight="1">
      <c r="A73" s="21">
        <v>83.0</v>
      </c>
      <c r="B73" s="21" t="s">
        <v>872</v>
      </c>
      <c r="C73" s="21" t="s">
        <v>1834</v>
      </c>
      <c r="D73" s="21" t="s">
        <v>1835</v>
      </c>
      <c r="E73" s="21" t="s">
        <v>1836</v>
      </c>
    </row>
    <row r="74" ht="15.75" customHeight="1">
      <c r="A74" s="21">
        <v>103.0</v>
      </c>
      <c r="B74" s="21" t="s">
        <v>1252</v>
      </c>
      <c r="C74" s="21" t="s">
        <v>1838</v>
      </c>
      <c r="D74" s="21" t="s">
        <v>1839</v>
      </c>
      <c r="E74" s="21" t="s">
        <v>1840</v>
      </c>
    </row>
    <row r="75" ht="15.75" customHeight="1">
      <c r="A75" s="21">
        <v>18.0</v>
      </c>
      <c r="B75" s="21" t="s">
        <v>539</v>
      </c>
      <c r="C75" s="21" t="s">
        <v>1841</v>
      </c>
      <c r="D75" s="21" t="s">
        <v>1843</v>
      </c>
      <c r="E75" s="21" t="s">
        <v>1844</v>
      </c>
    </row>
    <row r="76" ht="15.75" customHeight="1">
      <c r="A76" s="21">
        <v>22.0</v>
      </c>
      <c r="B76" s="21" t="s">
        <v>610</v>
      </c>
      <c r="C76" s="21" t="s">
        <v>1841</v>
      </c>
      <c r="D76" s="21" t="s">
        <v>1846</v>
      </c>
      <c r="E76" s="21" t="s">
        <v>1844</v>
      </c>
    </row>
    <row r="77" ht="15.75" customHeight="1">
      <c r="A77" s="21">
        <v>25.0</v>
      </c>
      <c r="B77" s="21" t="s">
        <v>661</v>
      </c>
      <c r="C77" s="21" t="s">
        <v>1841</v>
      </c>
      <c r="D77" s="21" t="s">
        <v>1848</v>
      </c>
      <c r="E77" s="21" t="s">
        <v>1844</v>
      </c>
    </row>
    <row r="78" ht="15.75" customHeight="1">
      <c r="A78" s="21">
        <v>47.0</v>
      </c>
      <c r="B78" s="21" t="s">
        <v>946</v>
      </c>
      <c r="C78" s="21" t="s">
        <v>1841</v>
      </c>
      <c r="D78" s="21" t="s">
        <v>1849</v>
      </c>
      <c r="E78" s="21" t="s">
        <v>1844</v>
      </c>
    </row>
    <row r="79" ht="15.75" customHeight="1">
      <c r="A79" s="21">
        <v>103.0</v>
      </c>
      <c r="B79" s="21" t="s">
        <v>1252</v>
      </c>
      <c r="C79" s="21" t="s">
        <v>1841</v>
      </c>
      <c r="D79" s="21" t="s">
        <v>1850</v>
      </c>
      <c r="E79" s="21" t="s">
        <v>1844</v>
      </c>
    </row>
    <row r="80" ht="15.75" customHeight="1">
      <c r="A80" s="21">
        <v>17.0</v>
      </c>
      <c r="B80" s="21" t="s">
        <v>519</v>
      </c>
      <c r="C80" s="21" t="s">
        <v>1853</v>
      </c>
      <c r="D80" s="21" t="s">
        <v>1854</v>
      </c>
      <c r="E80" s="21" t="s">
        <v>1855</v>
      </c>
    </row>
    <row r="81" ht="15.75" customHeight="1">
      <c r="A81" s="5"/>
      <c r="B81" s="5"/>
      <c r="C81" s="5"/>
      <c r="D81" s="5"/>
      <c r="E81" s="5"/>
    </row>
    <row r="82" ht="15.75" customHeight="1">
      <c r="A82" s="5"/>
      <c r="B82" s="5"/>
      <c r="C82" s="5"/>
      <c r="D82" s="5"/>
      <c r="E82" s="5"/>
    </row>
    <row r="83" ht="15.75" customHeight="1">
      <c r="A83" s="5"/>
      <c r="B83" s="5"/>
      <c r="C83" s="5"/>
      <c r="D83" s="5"/>
      <c r="E83" s="5"/>
    </row>
    <row r="84" ht="15.75" customHeight="1">
      <c r="A84" s="5"/>
      <c r="B84" s="5"/>
      <c r="C84" s="5"/>
      <c r="D84" s="5"/>
      <c r="E84" s="5"/>
    </row>
    <row r="85" ht="15.75" customHeight="1">
      <c r="A85" s="5"/>
      <c r="B85" s="5"/>
      <c r="C85" s="5"/>
      <c r="D85" s="5"/>
      <c r="E85" s="5"/>
    </row>
    <row r="86" ht="15.75" customHeight="1">
      <c r="A86" s="5"/>
      <c r="B86" s="5"/>
      <c r="C86" s="5"/>
      <c r="D86" s="5"/>
      <c r="E86" s="5"/>
    </row>
    <row r="87" ht="15.75" customHeight="1">
      <c r="A87" s="5"/>
      <c r="B87" s="5"/>
      <c r="C87" s="5"/>
      <c r="D87" s="5"/>
      <c r="E87" s="5"/>
    </row>
    <row r="88" ht="15.75" customHeight="1">
      <c r="A88" s="5"/>
      <c r="B88" s="5"/>
      <c r="C88" s="5"/>
      <c r="D88" s="5"/>
      <c r="E88" s="5"/>
    </row>
    <row r="89" ht="15.75" customHeight="1">
      <c r="A89" s="5"/>
      <c r="B89" s="5"/>
      <c r="C89" s="5"/>
      <c r="D89" s="5"/>
      <c r="E89" s="5"/>
    </row>
    <row r="90" ht="15.75" customHeight="1">
      <c r="A90" s="5"/>
      <c r="B90" s="5"/>
      <c r="C90" s="5"/>
      <c r="D90" s="5"/>
      <c r="E90" s="5"/>
    </row>
    <row r="91" ht="15.75" customHeight="1">
      <c r="A91" s="5"/>
      <c r="B91" s="5"/>
      <c r="C91" s="5"/>
      <c r="D91" s="5"/>
      <c r="E91" s="5"/>
    </row>
    <row r="92" ht="15.75" customHeight="1">
      <c r="A92" s="5"/>
      <c r="B92" s="5"/>
      <c r="C92" s="5"/>
      <c r="D92" s="5"/>
      <c r="E92" s="5"/>
    </row>
    <row r="93" ht="15.75" customHeight="1">
      <c r="A93" s="5"/>
      <c r="B93" s="5"/>
      <c r="C93" s="5"/>
      <c r="D93" s="5"/>
      <c r="E93" s="5"/>
    </row>
    <row r="94" ht="15.75" customHeight="1">
      <c r="A94" s="5"/>
      <c r="B94" s="5"/>
      <c r="C94" s="5"/>
      <c r="D94" s="5"/>
      <c r="E94" s="5"/>
    </row>
    <row r="95" ht="15.75" customHeight="1">
      <c r="A95" s="5"/>
      <c r="B95" s="5"/>
      <c r="C95" s="5"/>
      <c r="D95" s="5"/>
      <c r="E95" s="5"/>
    </row>
    <row r="96" ht="15.75" customHeight="1">
      <c r="A96" s="5"/>
      <c r="B96" s="5"/>
      <c r="C96" s="5"/>
      <c r="D96" s="5"/>
      <c r="E96" s="5"/>
    </row>
    <row r="97" ht="15.75" customHeight="1">
      <c r="A97" s="5"/>
      <c r="B97" s="5"/>
      <c r="C97" s="5"/>
      <c r="D97" s="5"/>
      <c r="E97" s="5"/>
    </row>
    <row r="98" ht="15.75" customHeight="1">
      <c r="A98" s="5"/>
      <c r="B98" s="5"/>
      <c r="C98" s="5"/>
      <c r="D98" s="5"/>
      <c r="E98" s="5"/>
    </row>
    <row r="99" ht="15.75" customHeight="1">
      <c r="A99" s="5"/>
      <c r="B99" s="5"/>
      <c r="C99" s="5"/>
      <c r="D99" s="5"/>
      <c r="E99" s="5"/>
    </row>
    <row r="100" ht="15.75" customHeight="1">
      <c r="A100" s="5"/>
      <c r="B100" s="5"/>
      <c r="C100" s="5"/>
      <c r="D100" s="5"/>
      <c r="E100" s="5"/>
    </row>
    <row r="101" ht="15.75" customHeight="1">
      <c r="A101" s="5"/>
      <c r="B101" s="5"/>
      <c r="C101" s="5"/>
      <c r="D101" s="5"/>
      <c r="E101" s="5"/>
    </row>
    <row r="102" ht="15.75" customHeight="1">
      <c r="A102" s="5"/>
      <c r="B102" s="5"/>
      <c r="C102" s="5"/>
      <c r="D102" s="5"/>
      <c r="E102" s="5"/>
    </row>
    <row r="103" ht="15.75" customHeight="1">
      <c r="A103" s="5"/>
      <c r="B103" s="5"/>
      <c r="C103" s="5"/>
      <c r="D103" s="5"/>
      <c r="E103" s="5"/>
    </row>
    <row r="104" ht="15.75" customHeight="1">
      <c r="A104" s="5"/>
      <c r="B104" s="5"/>
      <c r="C104" s="5"/>
      <c r="D104" s="5"/>
      <c r="E104" s="5"/>
    </row>
    <row r="105" ht="15.75" customHeight="1">
      <c r="A105" s="5"/>
      <c r="B105" s="5"/>
      <c r="C105" s="5"/>
      <c r="D105" s="5"/>
      <c r="E105" s="5"/>
    </row>
    <row r="106" ht="15.75" customHeight="1">
      <c r="A106" s="5"/>
      <c r="B106" s="5"/>
      <c r="C106" s="5"/>
      <c r="D106" s="5"/>
      <c r="E106" s="5"/>
    </row>
    <row r="107" ht="15.75" customHeight="1">
      <c r="A107" s="5"/>
      <c r="B107" s="5"/>
      <c r="C107" s="5"/>
      <c r="D107" s="5"/>
      <c r="E107" s="5"/>
    </row>
    <row r="108" ht="15.75" customHeight="1">
      <c r="A108" s="5"/>
      <c r="B108" s="5"/>
      <c r="C108" s="5"/>
      <c r="D108" s="5"/>
      <c r="E108" s="5"/>
    </row>
    <row r="109" ht="15.75" customHeight="1">
      <c r="A109" s="5"/>
      <c r="B109" s="5"/>
      <c r="C109" s="5"/>
      <c r="D109" s="5"/>
      <c r="E109" s="5"/>
    </row>
    <row r="110" ht="15.75" customHeight="1">
      <c r="A110" s="5"/>
      <c r="B110" s="5"/>
      <c r="C110" s="5"/>
      <c r="D110" s="5"/>
      <c r="E110" s="5"/>
    </row>
    <row r="111" ht="15.75" customHeight="1">
      <c r="A111" s="5"/>
      <c r="B111" s="5"/>
      <c r="C111" s="5"/>
      <c r="D111" s="5"/>
      <c r="E111" s="5"/>
    </row>
    <row r="112" ht="15.75" customHeight="1">
      <c r="A112" s="5"/>
      <c r="B112" s="5"/>
      <c r="C112" s="5"/>
      <c r="D112" s="5"/>
      <c r="E112" s="5"/>
    </row>
    <row r="113" ht="15.75" customHeight="1">
      <c r="A113" s="5"/>
      <c r="B113" s="5"/>
      <c r="C113" s="5"/>
      <c r="D113" s="5"/>
      <c r="E113" s="5"/>
    </row>
    <row r="114" ht="15.75" customHeight="1">
      <c r="A114" s="5"/>
      <c r="B114" s="5"/>
      <c r="C114" s="5"/>
      <c r="D114" s="5"/>
      <c r="E114" s="5"/>
    </row>
    <row r="115" ht="15.75" customHeight="1">
      <c r="A115" s="5"/>
      <c r="B115" s="5"/>
      <c r="C115" s="5"/>
      <c r="D115" s="5"/>
      <c r="E115" s="5"/>
    </row>
    <row r="116" ht="15.75" customHeight="1">
      <c r="A116" s="5"/>
      <c r="B116" s="5"/>
      <c r="C116" s="5"/>
      <c r="D116" s="5"/>
      <c r="E116" s="5"/>
    </row>
    <row r="117" ht="15.75" customHeight="1">
      <c r="A117" s="5"/>
      <c r="B117" s="5"/>
      <c r="C117" s="5"/>
      <c r="D117" s="5"/>
      <c r="E117" s="5"/>
    </row>
    <row r="118" ht="15.75" customHeight="1">
      <c r="A118" s="5"/>
      <c r="B118" s="5"/>
      <c r="C118" s="5"/>
      <c r="D118" s="5"/>
      <c r="E118" s="5"/>
    </row>
    <row r="119" ht="15.75" customHeight="1">
      <c r="A119" s="5"/>
      <c r="B119" s="5"/>
      <c r="C119" s="5"/>
      <c r="D119" s="5"/>
      <c r="E119" s="5"/>
    </row>
    <row r="120" ht="15.75" customHeight="1">
      <c r="A120" s="5"/>
      <c r="B120" s="5"/>
      <c r="C120" s="5"/>
      <c r="D120" s="5"/>
      <c r="E120" s="5"/>
    </row>
    <row r="121" ht="15.75" customHeight="1">
      <c r="A121" s="5"/>
      <c r="B121" s="5"/>
      <c r="C121" s="5"/>
      <c r="D121" s="5"/>
      <c r="E121" s="5"/>
    </row>
    <row r="122" ht="15.75" customHeight="1">
      <c r="A122" s="5"/>
      <c r="B122" s="5"/>
      <c r="C122" s="5"/>
      <c r="D122" s="5"/>
      <c r="E122" s="5"/>
    </row>
    <row r="123" ht="15.75" customHeight="1">
      <c r="A123" s="5"/>
      <c r="B123" s="5"/>
      <c r="C123" s="5"/>
      <c r="D123" s="5"/>
      <c r="E123" s="5"/>
    </row>
    <row r="124" ht="15.75" customHeight="1">
      <c r="A124" s="5"/>
      <c r="B124" s="5"/>
      <c r="C124" s="5"/>
      <c r="D124" s="5"/>
      <c r="E124" s="5"/>
    </row>
    <row r="125" ht="15.75" customHeight="1">
      <c r="A125" s="5"/>
      <c r="B125" s="5"/>
      <c r="C125" s="5"/>
      <c r="D125" s="5"/>
      <c r="E125" s="5"/>
    </row>
    <row r="126" ht="15.75" customHeight="1">
      <c r="A126" s="5"/>
      <c r="B126" s="5"/>
      <c r="C126" s="5"/>
      <c r="D126" s="5"/>
      <c r="E126" s="5"/>
    </row>
    <row r="127" ht="15.75" customHeight="1">
      <c r="A127" s="5"/>
      <c r="B127" s="5"/>
      <c r="C127" s="5"/>
      <c r="D127" s="5"/>
      <c r="E127" s="5"/>
    </row>
    <row r="128" ht="15.75" customHeight="1">
      <c r="A128" s="5"/>
      <c r="B128" s="5"/>
      <c r="C128" s="5"/>
      <c r="D128" s="5"/>
      <c r="E128" s="5"/>
    </row>
    <row r="129" ht="15.75" customHeight="1">
      <c r="A129" s="5"/>
      <c r="B129" s="5"/>
      <c r="C129" s="5"/>
      <c r="D129" s="5"/>
      <c r="E129" s="5"/>
    </row>
    <row r="130" ht="15.75" customHeight="1">
      <c r="A130" s="5"/>
      <c r="B130" s="5"/>
      <c r="C130" s="5"/>
      <c r="D130" s="5"/>
      <c r="E130" s="5"/>
    </row>
    <row r="131" ht="15.75" customHeight="1">
      <c r="A131" s="5"/>
      <c r="B131" s="5"/>
      <c r="C131" s="5"/>
      <c r="D131" s="5"/>
      <c r="E131" s="5"/>
    </row>
    <row r="132" ht="15.75" customHeight="1">
      <c r="A132" s="5"/>
      <c r="B132" s="5"/>
      <c r="C132" s="5"/>
      <c r="D132" s="5"/>
      <c r="E132" s="5"/>
    </row>
    <row r="133" ht="15.75" customHeight="1">
      <c r="A133" s="5"/>
      <c r="B133" s="5"/>
      <c r="C133" s="5"/>
      <c r="D133" s="5"/>
      <c r="E133" s="5"/>
    </row>
    <row r="134" ht="15.75" customHeight="1">
      <c r="A134" s="5"/>
      <c r="B134" s="5"/>
      <c r="C134" s="5"/>
      <c r="D134" s="5"/>
      <c r="E134" s="5"/>
    </row>
    <row r="135" ht="15.75" customHeight="1">
      <c r="A135" s="5"/>
      <c r="B135" s="5"/>
      <c r="C135" s="5"/>
      <c r="D135" s="5"/>
      <c r="E135" s="5"/>
    </row>
    <row r="136" ht="15.75" customHeight="1">
      <c r="A136" s="5"/>
      <c r="B136" s="5"/>
      <c r="C136" s="5"/>
      <c r="D136" s="5"/>
      <c r="E136" s="5"/>
    </row>
    <row r="137" ht="15.75" customHeight="1">
      <c r="A137" s="5"/>
      <c r="B137" s="5"/>
      <c r="C137" s="5"/>
      <c r="D137" s="5"/>
      <c r="E137" s="5"/>
    </row>
    <row r="138" ht="15.75" customHeight="1">
      <c r="A138" s="5"/>
      <c r="B138" s="5"/>
      <c r="C138" s="5"/>
      <c r="D138" s="5"/>
      <c r="E138" s="5"/>
    </row>
    <row r="139" ht="15.75" customHeight="1">
      <c r="A139" s="5"/>
      <c r="B139" s="5"/>
      <c r="C139" s="5"/>
      <c r="D139" s="5"/>
      <c r="E139" s="5"/>
    </row>
    <row r="140" ht="15.75" customHeight="1">
      <c r="A140" s="5"/>
      <c r="B140" s="5"/>
      <c r="C140" s="5"/>
      <c r="D140" s="5"/>
      <c r="E140" s="5"/>
    </row>
    <row r="141" ht="15.75" customHeight="1">
      <c r="A141" s="5"/>
      <c r="B141" s="5"/>
      <c r="C141" s="5"/>
      <c r="D141" s="5"/>
      <c r="E141" s="5"/>
    </row>
    <row r="142" ht="15.75" customHeight="1">
      <c r="A142" s="5"/>
      <c r="B142" s="5"/>
      <c r="C142" s="5"/>
      <c r="D142" s="5"/>
      <c r="E142" s="5"/>
    </row>
    <row r="143" ht="15.75" customHeight="1">
      <c r="A143" s="5"/>
      <c r="B143" s="5"/>
      <c r="C143" s="5"/>
      <c r="D143" s="5"/>
      <c r="E143" s="5"/>
    </row>
    <row r="144" ht="15.75" customHeight="1">
      <c r="A144" s="5"/>
      <c r="B144" s="5"/>
      <c r="C144" s="5"/>
      <c r="D144" s="5"/>
      <c r="E144" s="5"/>
    </row>
    <row r="145" ht="15.75" customHeight="1">
      <c r="A145" s="5"/>
      <c r="B145" s="5"/>
      <c r="C145" s="5"/>
      <c r="D145" s="5"/>
      <c r="E145" s="5"/>
    </row>
    <row r="146" ht="15.75" customHeight="1">
      <c r="A146" s="5"/>
      <c r="B146" s="5"/>
      <c r="C146" s="5"/>
      <c r="D146" s="5"/>
      <c r="E146" s="5"/>
    </row>
    <row r="147" ht="15.75" customHeight="1">
      <c r="A147" s="5"/>
      <c r="B147" s="5"/>
      <c r="C147" s="5"/>
      <c r="D147" s="5"/>
      <c r="E147" s="5"/>
    </row>
    <row r="148" ht="15.75" customHeight="1">
      <c r="A148" s="5"/>
      <c r="B148" s="5"/>
      <c r="C148" s="5"/>
      <c r="D148" s="5"/>
      <c r="E148" s="5"/>
    </row>
    <row r="149" ht="15.75" customHeight="1">
      <c r="A149" s="5"/>
      <c r="B149" s="5"/>
      <c r="C149" s="5"/>
      <c r="D149" s="5"/>
      <c r="E149" s="5"/>
    </row>
    <row r="150" ht="15.75" customHeight="1">
      <c r="A150" s="5"/>
      <c r="B150" s="5"/>
      <c r="C150" s="5"/>
      <c r="D150" s="5"/>
      <c r="E150" s="5"/>
    </row>
    <row r="151" ht="15.75" customHeight="1">
      <c r="A151" s="5"/>
      <c r="B151" s="5"/>
      <c r="C151" s="5"/>
      <c r="D151" s="5"/>
      <c r="E151" s="5"/>
    </row>
    <row r="152" ht="15.75" customHeight="1">
      <c r="A152" s="5"/>
      <c r="B152" s="5"/>
      <c r="C152" s="5"/>
      <c r="D152" s="5"/>
      <c r="E152" s="5"/>
    </row>
    <row r="153" ht="15.75" customHeight="1">
      <c r="A153" s="5"/>
      <c r="B153" s="5"/>
      <c r="C153" s="5"/>
      <c r="D153" s="5"/>
      <c r="E153" s="5"/>
    </row>
    <row r="154" ht="15.75" customHeight="1">
      <c r="A154" s="5"/>
      <c r="B154" s="5"/>
      <c r="C154" s="5"/>
      <c r="D154" s="5"/>
      <c r="E154" s="5"/>
    </row>
    <row r="155" ht="15.75" customHeight="1">
      <c r="A155" s="5"/>
      <c r="B155" s="5"/>
      <c r="C155" s="5"/>
      <c r="D155" s="5"/>
      <c r="E155" s="5"/>
    </row>
    <row r="156" ht="15.75" customHeight="1">
      <c r="A156" s="5"/>
      <c r="B156" s="5"/>
      <c r="C156" s="5"/>
      <c r="D156" s="5"/>
      <c r="E156" s="5"/>
    </row>
    <row r="157" ht="15.75" customHeight="1">
      <c r="A157" s="5"/>
      <c r="B157" s="5"/>
      <c r="C157" s="5"/>
      <c r="D157" s="5"/>
      <c r="E157" s="5"/>
    </row>
    <row r="158" ht="15.75" customHeight="1">
      <c r="A158" s="5"/>
      <c r="B158" s="5"/>
      <c r="C158" s="5"/>
      <c r="D158" s="5"/>
      <c r="E158" s="5"/>
    </row>
    <row r="159" ht="15.75" customHeight="1">
      <c r="A159" s="5"/>
      <c r="B159" s="5"/>
      <c r="C159" s="5"/>
      <c r="D159" s="5"/>
      <c r="E159" s="5"/>
    </row>
    <row r="160" ht="15.75" customHeight="1">
      <c r="A160" s="5"/>
      <c r="B160" s="5"/>
      <c r="C160" s="5"/>
      <c r="D160" s="5"/>
      <c r="E160" s="5"/>
    </row>
    <row r="161" ht="15.75" customHeight="1">
      <c r="A161" s="5"/>
      <c r="B161" s="5"/>
      <c r="C161" s="5"/>
      <c r="D161" s="5"/>
      <c r="E161" s="5"/>
    </row>
    <row r="162" ht="15.75" customHeight="1">
      <c r="A162" s="5"/>
      <c r="B162" s="5"/>
      <c r="C162" s="5"/>
      <c r="D162" s="5"/>
      <c r="E162" s="5"/>
    </row>
    <row r="163" ht="15.75" customHeight="1">
      <c r="A163" s="5"/>
      <c r="B163" s="5"/>
      <c r="C163" s="5"/>
      <c r="D163" s="5"/>
      <c r="E163" s="5"/>
    </row>
    <row r="164" ht="15.75" customHeight="1">
      <c r="A164" s="5"/>
      <c r="B164" s="5"/>
      <c r="C164" s="5"/>
      <c r="D164" s="5"/>
      <c r="E164" s="5"/>
    </row>
    <row r="165" ht="15.75" customHeight="1">
      <c r="A165" s="5"/>
      <c r="B165" s="5"/>
      <c r="C165" s="5"/>
      <c r="D165" s="5"/>
      <c r="E165" s="5"/>
    </row>
    <row r="166" ht="15.75" customHeight="1">
      <c r="A166" s="5"/>
      <c r="B166" s="5"/>
      <c r="C166" s="5"/>
      <c r="D166" s="5"/>
      <c r="E166" s="5"/>
    </row>
    <row r="167" ht="15.75" customHeight="1">
      <c r="A167" s="5"/>
      <c r="B167" s="5"/>
      <c r="C167" s="5"/>
      <c r="D167" s="5"/>
      <c r="E167" s="5"/>
    </row>
    <row r="168" ht="15.75" customHeight="1">
      <c r="A168" s="5"/>
      <c r="B168" s="5"/>
      <c r="C168" s="5"/>
      <c r="D168" s="5"/>
      <c r="E168" s="5"/>
    </row>
    <row r="169" ht="15.75" customHeight="1">
      <c r="A169" s="5"/>
      <c r="B169" s="5"/>
      <c r="C169" s="5"/>
      <c r="D169" s="5"/>
      <c r="E169" s="5"/>
    </row>
    <row r="170" ht="15.75" customHeight="1">
      <c r="A170" s="5"/>
      <c r="B170" s="5"/>
      <c r="C170" s="5"/>
      <c r="D170" s="5"/>
      <c r="E170" s="5"/>
    </row>
    <row r="171" ht="15.75" customHeight="1">
      <c r="A171" s="5"/>
      <c r="B171" s="5"/>
      <c r="C171" s="5"/>
      <c r="D171" s="5"/>
      <c r="E171" s="5"/>
    </row>
    <row r="172" ht="15.75" customHeight="1">
      <c r="A172" s="5"/>
      <c r="B172" s="5"/>
      <c r="C172" s="5"/>
      <c r="D172" s="5"/>
      <c r="E172" s="5"/>
    </row>
    <row r="173" ht="15.75" customHeight="1">
      <c r="A173" s="5"/>
      <c r="B173" s="5"/>
      <c r="C173" s="5"/>
      <c r="D173" s="5"/>
      <c r="E173" s="5"/>
    </row>
    <row r="174" ht="15.75" customHeight="1">
      <c r="A174" s="5"/>
      <c r="B174" s="5"/>
      <c r="C174" s="5"/>
      <c r="D174" s="5"/>
      <c r="E174" s="5"/>
    </row>
    <row r="175" ht="15.75" customHeight="1">
      <c r="A175" s="5"/>
      <c r="B175" s="5"/>
      <c r="C175" s="5"/>
      <c r="D175" s="5"/>
      <c r="E175" s="5"/>
    </row>
    <row r="176" ht="15.75" customHeight="1">
      <c r="A176" s="5"/>
      <c r="B176" s="5"/>
      <c r="C176" s="5"/>
      <c r="D176" s="5"/>
      <c r="E176" s="5"/>
    </row>
    <row r="177" ht="15.75" customHeight="1">
      <c r="A177" s="5"/>
      <c r="B177" s="5"/>
      <c r="C177" s="5"/>
      <c r="D177" s="5"/>
      <c r="E177" s="5"/>
    </row>
    <row r="178" ht="15.75" customHeight="1">
      <c r="A178" s="5"/>
      <c r="B178" s="5"/>
      <c r="C178" s="5"/>
      <c r="D178" s="5"/>
      <c r="E178" s="5"/>
    </row>
    <row r="179" ht="15.75" customHeight="1">
      <c r="A179" s="5"/>
      <c r="B179" s="5"/>
      <c r="C179" s="5"/>
      <c r="D179" s="5"/>
      <c r="E179" s="5"/>
    </row>
    <row r="180" ht="15.75" customHeight="1">
      <c r="A180" s="5"/>
      <c r="B180" s="5"/>
      <c r="C180" s="5"/>
      <c r="D180" s="5"/>
      <c r="E180" s="5"/>
    </row>
    <row r="181" ht="15.75" customHeight="1">
      <c r="A181" s="5"/>
      <c r="B181" s="5"/>
      <c r="C181" s="5"/>
      <c r="D181" s="5"/>
      <c r="E181" s="5"/>
    </row>
    <row r="182" ht="15.75" customHeight="1">
      <c r="A182" s="5"/>
      <c r="B182" s="5"/>
      <c r="C182" s="5"/>
      <c r="D182" s="5"/>
      <c r="E182" s="5"/>
    </row>
    <row r="183" ht="15.75" customHeight="1">
      <c r="A183" s="5"/>
      <c r="B183" s="5"/>
      <c r="C183" s="5"/>
      <c r="D183" s="5"/>
      <c r="E183" s="5"/>
    </row>
    <row r="184" ht="15.75" customHeight="1">
      <c r="A184" s="5"/>
      <c r="B184" s="5"/>
      <c r="C184" s="5"/>
      <c r="D184" s="5"/>
      <c r="E184" s="5"/>
    </row>
    <row r="185" ht="15.75" customHeight="1">
      <c r="A185" s="5"/>
      <c r="B185" s="5"/>
      <c r="C185" s="5"/>
      <c r="D185" s="5"/>
      <c r="E185" s="5"/>
    </row>
    <row r="186" ht="15.75" customHeight="1">
      <c r="A186" s="5"/>
      <c r="B186" s="5"/>
      <c r="C186" s="5"/>
      <c r="D186" s="5"/>
      <c r="E186" s="5"/>
    </row>
    <row r="187" ht="15.75" customHeight="1">
      <c r="A187" s="5"/>
      <c r="B187" s="5"/>
      <c r="C187" s="5"/>
      <c r="D187" s="5"/>
      <c r="E187" s="5"/>
    </row>
    <row r="188" ht="15.75" customHeight="1">
      <c r="A188" s="5"/>
      <c r="B188" s="5"/>
      <c r="C188" s="5"/>
      <c r="D188" s="5"/>
      <c r="E188" s="5"/>
    </row>
    <row r="189" ht="15.75" customHeight="1">
      <c r="A189" s="5"/>
      <c r="B189" s="5"/>
      <c r="C189" s="5"/>
      <c r="D189" s="5"/>
      <c r="E189" s="5"/>
    </row>
    <row r="190" ht="15.75" customHeight="1">
      <c r="A190" s="5"/>
      <c r="B190" s="5"/>
      <c r="C190" s="5"/>
      <c r="D190" s="5"/>
      <c r="E190" s="5"/>
    </row>
    <row r="191" ht="15.75" customHeight="1">
      <c r="A191" s="5"/>
      <c r="B191" s="5"/>
      <c r="C191" s="5"/>
      <c r="D191" s="5"/>
      <c r="E191" s="5"/>
    </row>
    <row r="192" ht="15.75" customHeight="1">
      <c r="A192" s="5"/>
      <c r="B192" s="5"/>
      <c r="C192" s="5"/>
      <c r="D192" s="5"/>
      <c r="E192" s="5"/>
    </row>
    <row r="193" ht="15.75" customHeight="1">
      <c r="A193" s="5"/>
      <c r="B193" s="5"/>
      <c r="C193" s="5"/>
      <c r="D193" s="5"/>
      <c r="E193" s="5"/>
    </row>
    <row r="194" ht="15.75" customHeight="1">
      <c r="A194" s="5"/>
      <c r="B194" s="5"/>
      <c r="C194" s="5"/>
      <c r="D194" s="5"/>
      <c r="E194" s="5"/>
    </row>
    <row r="195" ht="15.75" customHeight="1">
      <c r="A195" s="5"/>
      <c r="B195" s="5"/>
      <c r="C195" s="5"/>
      <c r="D195" s="5"/>
      <c r="E195" s="5"/>
    </row>
    <row r="196" ht="15.75" customHeight="1">
      <c r="A196" s="5"/>
      <c r="B196" s="5"/>
      <c r="C196" s="5"/>
      <c r="D196" s="5"/>
      <c r="E196" s="5"/>
    </row>
    <row r="197" ht="15.75" customHeight="1">
      <c r="A197" s="5"/>
      <c r="B197" s="5"/>
      <c r="C197" s="5"/>
      <c r="D197" s="5"/>
      <c r="E197" s="5"/>
    </row>
    <row r="198" ht="15.75" customHeight="1">
      <c r="A198" s="5"/>
      <c r="B198" s="5"/>
      <c r="C198" s="5"/>
      <c r="D198" s="5"/>
      <c r="E198" s="5"/>
    </row>
    <row r="199" ht="15.75" customHeight="1">
      <c r="A199" s="5"/>
      <c r="B199" s="5"/>
      <c r="C199" s="5"/>
      <c r="D199" s="5"/>
      <c r="E199" s="5"/>
    </row>
    <row r="200" ht="15.75" customHeight="1">
      <c r="A200" s="5"/>
      <c r="B200" s="5"/>
      <c r="C200" s="5"/>
      <c r="D200" s="5"/>
      <c r="E200" s="5"/>
    </row>
    <row r="201" ht="15.75" customHeight="1">
      <c r="A201" s="5"/>
      <c r="B201" s="5"/>
      <c r="C201" s="5"/>
      <c r="D201" s="5"/>
      <c r="E201" s="5"/>
    </row>
    <row r="202" ht="15.75" customHeight="1">
      <c r="A202" s="5"/>
      <c r="B202" s="5"/>
      <c r="C202" s="5"/>
      <c r="D202" s="5"/>
      <c r="E202" s="5"/>
    </row>
    <row r="203" ht="15.75" customHeight="1">
      <c r="A203" s="5"/>
      <c r="B203" s="5"/>
      <c r="C203" s="5"/>
      <c r="D203" s="5"/>
      <c r="E203" s="5"/>
    </row>
    <row r="204" ht="15.75" customHeight="1">
      <c r="A204" s="5"/>
      <c r="B204" s="5"/>
      <c r="C204" s="5"/>
      <c r="D204" s="5"/>
      <c r="E204" s="5"/>
    </row>
    <row r="205" ht="15.75" customHeight="1">
      <c r="A205" s="5"/>
      <c r="B205" s="5"/>
      <c r="C205" s="5"/>
      <c r="D205" s="5"/>
      <c r="E205" s="5"/>
    </row>
    <row r="206" ht="15.75" customHeight="1">
      <c r="A206" s="5"/>
      <c r="B206" s="5"/>
      <c r="C206" s="5"/>
      <c r="D206" s="5"/>
      <c r="E206" s="5"/>
    </row>
    <row r="207" ht="15.75" customHeight="1">
      <c r="A207" s="5"/>
      <c r="B207" s="5"/>
      <c r="C207" s="5"/>
      <c r="D207" s="5"/>
      <c r="E207" s="5"/>
    </row>
    <row r="208" ht="15.75" customHeight="1">
      <c r="A208" s="5"/>
      <c r="B208" s="5"/>
      <c r="C208" s="5"/>
      <c r="D208" s="5"/>
      <c r="E208" s="5"/>
    </row>
    <row r="209" ht="15.75" customHeight="1">
      <c r="A209" s="5"/>
      <c r="B209" s="5"/>
      <c r="C209" s="5"/>
      <c r="D209" s="5"/>
      <c r="E209" s="5"/>
    </row>
    <row r="210" ht="15.75" customHeight="1">
      <c r="A210" s="5"/>
      <c r="B210" s="5"/>
      <c r="C210" s="5"/>
      <c r="D210" s="5"/>
      <c r="E210" s="5"/>
    </row>
    <row r="211" ht="15.75" customHeight="1">
      <c r="A211" s="5"/>
      <c r="B211" s="5"/>
      <c r="C211" s="5"/>
      <c r="D211" s="5"/>
      <c r="E211" s="5"/>
    </row>
    <row r="212" ht="15.75" customHeight="1">
      <c r="A212" s="5"/>
      <c r="B212" s="5"/>
      <c r="C212" s="5"/>
      <c r="D212" s="5"/>
      <c r="E212" s="5"/>
    </row>
    <row r="213" ht="15.75" customHeight="1">
      <c r="A213" s="5"/>
      <c r="B213" s="5"/>
      <c r="C213" s="5"/>
      <c r="D213" s="5"/>
      <c r="E213" s="5"/>
    </row>
    <row r="214" ht="15.75" customHeight="1">
      <c r="A214" s="5"/>
      <c r="B214" s="5"/>
      <c r="C214" s="5"/>
      <c r="D214" s="5"/>
      <c r="E214" s="5"/>
    </row>
    <row r="215" ht="15.75" customHeight="1">
      <c r="A215" s="5"/>
      <c r="B215" s="5"/>
      <c r="C215" s="5"/>
      <c r="D215" s="5"/>
      <c r="E215" s="5"/>
    </row>
    <row r="216" ht="15.75" customHeight="1">
      <c r="A216" s="5"/>
      <c r="B216" s="5"/>
      <c r="C216" s="5"/>
      <c r="D216" s="5"/>
      <c r="E216" s="5"/>
    </row>
    <row r="217" ht="15.75" customHeight="1">
      <c r="A217" s="5"/>
      <c r="B217" s="5"/>
      <c r="C217" s="5"/>
      <c r="D217" s="5"/>
      <c r="E217" s="5"/>
    </row>
    <row r="218" ht="15.75" customHeight="1">
      <c r="A218" s="5"/>
      <c r="B218" s="5"/>
      <c r="C218" s="5"/>
      <c r="D218" s="5"/>
      <c r="E218" s="5"/>
    </row>
    <row r="219" ht="15.75" customHeight="1">
      <c r="A219" s="5"/>
      <c r="B219" s="5"/>
      <c r="C219" s="5"/>
      <c r="D219" s="5"/>
      <c r="E219" s="5"/>
    </row>
    <row r="220" ht="15.75" customHeight="1">
      <c r="A220" s="5"/>
      <c r="B220" s="5"/>
      <c r="C220" s="5"/>
      <c r="D220" s="5"/>
      <c r="E220" s="5"/>
    </row>
    <row r="221" ht="15.75" customHeight="1">
      <c r="A221" s="5"/>
      <c r="B221" s="5"/>
      <c r="C221" s="5"/>
      <c r="D221" s="5"/>
      <c r="E221" s="5"/>
    </row>
    <row r="222" ht="15.75" customHeight="1">
      <c r="A222" s="5"/>
      <c r="B222" s="5"/>
      <c r="C222" s="5"/>
      <c r="D222" s="5"/>
      <c r="E222" s="5"/>
    </row>
    <row r="223" ht="15.75" customHeight="1">
      <c r="A223" s="5"/>
      <c r="B223" s="5"/>
      <c r="C223" s="5"/>
      <c r="D223" s="5"/>
      <c r="E223" s="5"/>
    </row>
    <row r="224" ht="15.75" customHeight="1">
      <c r="A224" s="5"/>
      <c r="B224" s="5"/>
      <c r="C224" s="5"/>
      <c r="D224" s="5"/>
      <c r="E224" s="5"/>
    </row>
    <row r="225" ht="15.75" customHeight="1">
      <c r="A225" s="5"/>
      <c r="B225" s="5"/>
      <c r="C225" s="5"/>
      <c r="D225" s="5"/>
      <c r="E225" s="5"/>
    </row>
    <row r="226" ht="15.75" customHeight="1">
      <c r="A226" s="5"/>
      <c r="B226" s="5"/>
      <c r="C226" s="5"/>
      <c r="D226" s="5"/>
      <c r="E226" s="5"/>
    </row>
    <row r="227" ht="15.75" customHeight="1">
      <c r="A227" s="5"/>
      <c r="B227" s="5"/>
      <c r="C227" s="5"/>
      <c r="D227" s="5"/>
      <c r="E227" s="5"/>
    </row>
    <row r="228" ht="15.75" customHeight="1">
      <c r="A228" s="5"/>
      <c r="B228" s="5"/>
      <c r="C228" s="5"/>
      <c r="D228" s="5"/>
      <c r="E228" s="5"/>
    </row>
    <row r="229" ht="15.75" customHeight="1">
      <c r="A229" s="5"/>
      <c r="B229" s="5"/>
      <c r="C229" s="5"/>
      <c r="D229" s="5"/>
      <c r="E229" s="5"/>
    </row>
    <row r="230" ht="15.75" customHeight="1">
      <c r="A230" s="5"/>
      <c r="B230" s="5"/>
      <c r="C230" s="5"/>
      <c r="D230" s="5"/>
      <c r="E230" s="5"/>
    </row>
    <row r="231" ht="15.75" customHeight="1">
      <c r="A231" s="5"/>
      <c r="B231" s="5"/>
      <c r="C231" s="5"/>
      <c r="D231" s="5"/>
      <c r="E231" s="5"/>
    </row>
    <row r="232" ht="15.75" customHeight="1">
      <c r="A232" s="5"/>
      <c r="B232" s="5"/>
      <c r="C232" s="5"/>
      <c r="D232" s="5"/>
      <c r="E232" s="5"/>
    </row>
    <row r="233" ht="15.75" customHeight="1">
      <c r="A233" s="5"/>
      <c r="B233" s="5"/>
      <c r="C233" s="5"/>
      <c r="D233" s="5"/>
      <c r="E233" s="5"/>
    </row>
    <row r="234" ht="15.75" customHeight="1">
      <c r="A234" s="5"/>
      <c r="B234" s="5"/>
      <c r="C234" s="5"/>
      <c r="D234" s="5"/>
      <c r="E234" s="5"/>
    </row>
    <row r="235" ht="15.75" customHeight="1">
      <c r="A235" s="5"/>
      <c r="B235" s="5"/>
      <c r="C235" s="5"/>
      <c r="D235" s="5"/>
      <c r="E235" s="5"/>
    </row>
    <row r="236" ht="15.75" customHeight="1">
      <c r="A236" s="5"/>
      <c r="B236" s="5"/>
      <c r="C236" s="5"/>
      <c r="D236" s="5"/>
      <c r="E236" s="5"/>
    </row>
    <row r="237" ht="15.75" customHeight="1">
      <c r="A237" s="5"/>
      <c r="B237" s="5"/>
      <c r="C237" s="5"/>
      <c r="D237" s="5"/>
      <c r="E237" s="5"/>
    </row>
    <row r="238" ht="15.75" customHeight="1">
      <c r="A238" s="5"/>
      <c r="B238" s="5"/>
      <c r="C238" s="5"/>
      <c r="D238" s="5"/>
      <c r="E238" s="5"/>
    </row>
    <row r="239" ht="15.75" customHeight="1">
      <c r="A239" s="5"/>
      <c r="B239" s="5"/>
      <c r="C239" s="5"/>
      <c r="D239" s="5"/>
      <c r="E239" s="5"/>
    </row>
    <row r="240" ht="15.75" customHeight="1">
      <c r="A240" s="5"/>
      <c r="B240" s="5"/>
      <c r="C240" s="5"/>
      <c r="D240" s="5"/>
      <c r="E240" s="5"/>
    </row>
    <row r="241" ht="15.75" customHeight="1">
      <c r="A241" s="5"/>
      <c r="B241" s="5"/>
      <c r="C241" s="5"/>
      <c r="D241" s="5"/>
      <c r="E241" s="5"/>
    </row>
    <row r="242" ht="15.75" customHeight="1">
      <c r="A242" s="5"/>
      <c r="B242" s="5"/>
      <c r="C242" s="5"/>
      <c r="D242" s="5"/>
      <c r="E242" s="5"/>
    </row>
    <row r="243" ht="15.75" customHeight="1">
      <c r="A243" s="5"/>
      <c r="B243" s="5"/>
      <c r="C243" s="5"/>
      <c r="D243" s="5"/>
      <c r="E243" s="5"/>
    </row>
    <row r="244" ht="15.75" customHeight="1">
      <c r="A244" s="5"/>
      <c r="B244" s="5"/>
      <c r="C244" s="5"/>
      <c r="D244" s="5"/>
      <c r="E244" s="5"/>
    </row>
    <row r="245" ht="15.75" customHeight="1">
      <c r="A245" s="5"/>
      <c r="B245" s="5"/>
      <c r="C245" s="5"/>
      <c r="D245" s="5"/>
      <c r="E245" s="5"/>
    </row>
    <row r="246" ht="15.75" customHeight="1">
      <c r="A246" s="5"/>
      <c r="B246" s="5"/>
      <c r="C246" s="5"/>
      <c r="D246" s="5"/>
      <c r="E246" s="5"/>
    </row>
    <row r="247" ht="15.75" customHeight="1">
      <c r="A247" s="5"/>
      <c r="B247" s="5"/>
      <c r="C247" s="5"/>
      <c r="D247" s="5"/>
      <c r="E247" s="5"/>
    </row>
    <row r="248" ht="15.75" customHeight="1">
      <c r="A248" s="5"/>
      <c r="B248" s="5"/>
      <c r="C248" s="5"/>
      <c r="D248" s="5"/>
      <c r="E248" s="5"/>
    </row>
    <row r="249" ht="15.75" customHeight="1">
      <c r="A249" s="5"/>
      <c r="B249" s="5"/>
      <c r="C249" s="5"/>
      <c r="D249" s="5"/>
      <c r="E249" s="5"/>
    </row>
    <row r="250" ht="15.75" customHeight="1">
      <c r="A250" s="5"/>
      <c r="B250" s="5"/>
      <c r="C250" s="5"/>
      <c r="D250" s="5"/>
      <c r="E250" s="5"/>
    </row>
    <row r="251" ht="15.75" customHeight="1">
      <c r="A251" s="5"/>
      <c r="B251" s="5"/>
      <c r="C251" s="5"/>
      <c r="D251" s="5"/>
      <c r="E251" s="5"/>
    </row>
    <row r="252" ht="15.75" customHeight="1">
      <c r="A252" s="5"/>
      <c r="B252" s="5"/>
      <c r="C252" s="5"/>
      <c r="D252" s="5"/>
      <c r="E252" s="5"/>
    </row>
    <row r="253" ht="15.75" customHeight="1">
      <c r="A253" s="5"/>
      <c r="B253" s="5"/>
      <c r="C253" s="5"/>
      <c r="D253" s="5"/>
      <c r="E253" s="5"/>
    </row>
    <row r="254" ht="15.75" customHeight="1">
      <c r="A254" s="5"/>
      <c r="B254" s="5"/>
      <c r="C254" s="5"/>
      <c r="D254" s="5"/>
      <c r="E254" s="5"/>
    </row>
    <row r="255" ht="15.75" customHeight="1">
      <c r="A255" s="5"/>
      <c r="B255" s="5"/>
      <c r="C255" s="5"/>
      <c r="D255" s="5"/>
      <c r="E255" s="5"/>
    </row>
    <row r="256" ht="15.75" customHeight="1">
      <c r="A256" s="5"/>
      <c r="B256" s="5"/>
      <c r="C256" s="5"/>
      <c r="D256" s="5"/>
      <c r="E256" s="5"/>
    </row>
    <row r="257" ht="15.75" customHeight="1">
      <c r="A257" s="5"/>
      <c r="B257" s="5"/>
      <c r="C257" s="5"/>
      <c r="D257" s="5"/>
      <c r="E257" s="5"/>
    </row>
    <row r="258" ht="15.75" customHeight="1">
      <c r="A258" s="5"/>
      <c r="B258" s="5"/>
      <c r="C258" s="5"/>
      <c r="D258" s="5"/>
      <c r="E258" s="5"/>
    </row>
    <row r="259" ht="15.75" customHeight="1">
      <c r="A259" s="5"/>
      <c r="B259" s="5"/>
      <c r="C259" s="5"/>
      <c r="D259" s="5"/>
      <c r="E259" s="5"/>
    </row>
    <row r="260" ht="15.75" customHeight="1">
      <c r="A260" s="5"/>
      <c r="B260" s="5"/>
      <c r="C260" s="5"/>
      <c r="D260" s="5"/>
      <c r="E260" s="5"/>
    </row>
    <row r="261" ht="15.75" customHeight="1">
      <c r="A261" s="5"/>
      <c r="B261" s="5"/>
      <c r="C261" s="5"/>
      <c r="D261" s="5"/>
      <c r="E261" s="5"/>
    </row>
    <row r="262" ht="15.75" customHeight="1">
      <c r="A262" s="5"/>
      <c r="B262" s="5"/>
      <c r="C262" s="5"/>
      <c r="D262" s="5"/>
      <c r="E262" s="5"/>
    </row>
    <row r="263" ht="15.75" customHeight="1">
      <c r="A263" s="5"/>
      <c r="B263" s="5"/>
      <c r="C263" s="5"/>
      <c r="D263" s="5"/>
      <c r="E263" s="5"/>
    </row>
    <row r="264" ht="15.75" customHeight="1">
      <c r="A264" s="5"/>
      <c r="B264" s="5"/>
      <c r="C264" s="5"/>
      <c r="D264" s="5"/>
      <c r="E264" s="5"/>
    </row>
    <row r="265" ht="15.75" customHeight="1">
      <c r="A265" s="5"/>
      <c r="B265" s="5"/>
      <c r="C265" s="5"/>
      <c r="D265" s="5"/>
      <c r="E265" s="5"/>
    </row>
    <row r="266" ht="15.75" customHeight="1">
      <c r="A266" s="5"/>
      <c r="B266" s="5"/>
      <c r="C266" s="5"/>
      <c r="D266" s="5"/>
      <c r="E266" s="5"/>
    </row>
    <row r="267" ht="15.75" customHeight="1">
      <c r="A267" s="5"/>
      <c r="B267" s="5"/>
      <c r="C267" s="5"/>
      <c r="D267" s="5"/>
      <c r="E267" s="5"/>
    </row>
    <row r="268" ht="15.75" customHeight="1">
      <c r="A268" s="5"/>
      <c r="B268" s="5"/>
      <c r="C268" s="5"/>
      <c r="D268" s="5"/>
      <c r="E268" s="5"/>
    </row>
    <row r="269" ht="15.75" customHeight="1">
      <c r="A269" s="5"/>
      <c r="B269" s="5"/>
      <c r="C269" s="5"/>
      <c r="D269" s="5"/>
      <c r="E269" s="5"/>
    </row>
    <row r="270" ht="15.75" customHeight="1">
      <c r="A270" s="5"/>
      <c r="B270" s="5"/>
      <c r="C270" s="5"/>
      <c r="D270" s="5"/>
      <c r="E270" s="5"/>
    </row>
    <row r="271" ht="15.75" customHeight="1">
      <c r="A271" s="5"/>
      <c r="B271" s="5"/>
      <c r="C271" s="5"/>
      <c r="D271" s="5"/>
      <c r="E271" s="5"/>
    </row>
    <row r="272" ht="15.75" customHeight="1">
      <c r="A272" s="5"/>
      <c r="B272" s="5"/>
      <c r="C272" s="5"/>
      <c r="D272" s="5"/>
      <c r="E272" s="5"/>
    </row>
    <row r="273" ht="15.75" customHeight="1">
      <c r="A273" s="5"/>
      <c r="B273" s="5"/>
      <c r="C273" s="5"/>
      <c r="D273" s="5"/>
      <c r="E273" s="5"/>
    </row>
    <row r="274" ht="15.75" customHeight="1">
      <c r="A274" s="5"/>
      <c r="B274" s="5"/>
      <c r="C274" s="5"/>
      <c r="D274" s="5"/>
      <c r="E274" s="5"/>
    </row>
    <row r="275" ht="15.75" customHeight="1">
      <c r="A275" s="5"/>
      <c r="B275" s="5"/>
      <c r="C275" s="5"/>
      <c r="D275" s="5"/>
      <c r="E275" s="5"/>
    </row>
    <row r="276" ht="15.75" customHeight="1">
      <c r="A276" s="5"/>
      <c r="B276" s="5"/>
      <c r="C276" s="5"/>
      <c r="D276" s="5"/>
      <c r="E276" s="5"/>
    </row>
    <row r="277" ht="15.75" customHeight="1">
      <c r="A277" s="5"/>
      <c r="B277" s="5"/>
      <c r="C277" s="5"/>
      <c r="D277" s="5"/>
      <c r="E277" s="5"/>
    </row>
    <row r="278" ht="15.75" customHeight="1">
      <c r="A278" s="5"/>
      <c r="B278" s="5"/>
      <c r="C278" s="5"/>
      <c r="D278" s="5"/>
      <c r="E278" s="5"/>
    </row>
    <row r="279" ht="15.75" customHeight="1">
      <c r="A279" s="5"/>
      <c r="B279" s="5"/>
      <c r="C279" s="5"/>
      <c r="D279" s="5"/>
      <c r="E279" s="5"/>
    </row>
    <row r="280" ht="15.75" customHeight="1">
      <c r="A280" s="5"/>
      <c r="B280" s="5"/>
      <c r="C280" s="5"/>
      <c r="D280" s="5"/>
      <c r="E280" s="5"/>
    </row>
    <row r="281" ht="15.75" customHeight="1">
      <c r="A281" s="5"/>
      <c r="B281" s="5"/>
      <c r="C281" s="5"/>
      <c r="D281" s="5"/>
      <c r="E281" s="5"/>
    </row>
    <row r="282" ht="15.75" customHeight="1">
      <c r="A282" s="5"/>
      <c r="B282" s="5"/>
      <c r="C282" s="5"/>
      <c r="D282" s="5"/>
      <c r="E282" s="5"/>
    </row>
    <row r="283" ht="15.75" customHeight="1">
      <c r="A283" s="5"/>
      <c r="B283" s="5"/>
      <c r="C283" s="5"/>
      <c r="D283" s="5"/>
      <c r="E283" s="5"/>
    </row>
    <row r="284" ht="15.75" customHeight="1">
      <c r="A284" s="5"/>
      <c r="B284" s="5"/>
      <c r="C284" s="5"/>
      <c r="D284" s="5"/>
      <c r="E284" s="5"/>
    </row>
    <row r="285" ht="15.75" customHeight="1">
      <c r="A285" s="5"/>
      <c r="B285" s="5"/>
      <c r="C285" s="5"/>
      <c r="D285" s="5"/>
      <c r="E285" s="5"/>
    </row>
    <row r="286" ht="15.75" customHeight="1">
      <c r="A286" s="5"/>
      <c r="B286" s="5"/>
      <c r="C286" s="5"/>
      <c r="D286" s="5"/>
      <c r="E286" s="5"/>
    </row>
    <row r="287" ht="15.75" customHeight="1">
      <c r="A287" s="5"/>
      <c r="B287" s="5"/>
      <c r="C287" s="5"/>
      <c r="D287" s="5"/>
      <c r="E287" s="5"/>
    </row>
    <row r="288" ht="15.75" customHeight="1">
      <c r="A288" s="5"/>
      <c r="B288" s="5"/>
      <c r="C288" s="5"/>
      <c r="D288" s="5"/>
      <c r="E288" s="5"/>
    </row>
    <row r="289" ht="15.75" customHeight="1">
      <c r="A289" s="5"/>
      <c r="B289" s="5"/>
      <c r="C289" s="5"/>
      <c r="D289" s="5"/>
      <c r="E289" s="5"/>
    </row>
    <row r="290" ht="15.75" customHeight="1">
      <c r="A290" s="5"/>
      <c r="B290" s="5"/>
      <c r="C290" s="5"/>
      <c r="D290" s="5"/>
      <c r="E290" s="5"/>
    </row>
    <row r="291" ht="15.75" customHeight="1">
      <c r="A291" s="5"/>
      <c r="B291" s="5"/>
      <c r="C291" s="5"/>
      <c r="D291" s="5"/>
      <c r="E291" s="5"/>
    </row>
    <row r="292" ht="15.75" customHeight="1">
      <c r="A292" s="5"/>
      <c r="B292" s="5"/>
      <c r="C292" s="5"/>
      <c r="D292" s="5"/>
      <c r="E292" s="5"/>
    </row>
    <row r="293" ht="15.75" customHeight="1">
      <c r="A293" s="5"/>
      <c r="B293" s="5"/>
      <c r="C293" s="5"/>
      <c r="D293" s="5"/>
      <c r="E293" s="5"/>
    </row>
    <row r="294" ht="15.75" customHeight="1">
      <c r="A294" s="5"/>
      <c r="B294" s="5"/>
      <c r="C294" s="5"/>
      <c r="D294" s="5"/>
      <c r="E294" s="5"/>
    </row>
    <row r="295" ht="15.75" customHeight="1">
      <c r="A295" s="5"/>
      <c r="B295" s="5"/>
      <c r="C295" s="5"/>
      <c r="D295" s="5"/>
      <c r="E295" s="5"/>
    </row>
    <row r="296" ht="15.75" customHeight="1">
      <c r="A296" s="5"/>
      <c r="B296" s="5"/>
      <c r="C296" s="5"/>
      <c r="D296" s="5"/>
      <c r="E296" s="5"/>
    </row>
    <row r="297" ht="15.75" customHeight="1">
      <c r="A297" s="5"/>
      <c r="B297" s="5"/>
      <c r="C297" s="5"/>
      <c r="D297" s="5"/>
      <c r="E297" s="5"/>
    </row>
    <row r="298" ht="15.75" customHeight="1">
      <c r="A298" s="5"/>
      <c r="B298" s="5"/>
      <c r="C298" s="5"/>
      <c r="D298" s="5"/>
      <c r="E298" s="5"/>
    </row>
    <row r="299" ht="15.75" customHeight="1">
      <c r="A299" s="5"/>
      <c r="B299" s="5"/>
      <c r="C299" s="5"/>
      <c r="D299" s="5"/>
      <c r="E299" s="5"/>
    </row>
    <row r="300" ht="15.75" customHeight="1">
      <c r="A300" s="5"/>
      <c r="B300" s="5"/>
      <c r="C300" s="5"/>
      <c r="D300" s="5"/>
      <c r="E300" s="5"/>
    </row>
    <row r="301" ht="15.75" customHeight="1">
      <c r="A301" s="5"/>
      <c r="B301" s="5"/>
      <c r="C301" s="5"/>
      <c r="D301" s="5"/>
      <c r="E301" s="5"/>
    </row>
    <row r="302" ht="15.75" customHeight="1">
      <c r="A302" s="5"/>
      <c r="B302" s="5"/>
      <c r="C302" s="5"/>
      <c r="D302" s="5"/>
      <c r="E302" s="5"/>
    </row>
    <row r="303" ht="15.75" customHeight="1">
      <c r="A303" s="5"/>
      <c r="B303" s="5"/>
      <c r="C303" s="5"/>
      <c r="D303" s="5"/>
      <c r="E303" s="5"/>
    </row>
    <row r="304" ht="15.75" customHeight="1">
      <c r="A304" s="5"/>
      <c r="B304" s="5"/>
      <c r="C304" s="5"/>
      <c r="D304" s="5"/>
      <c r="E304" s="5"/>
    </row>
    <row r="305" ht="15.75" customHeight="1">
      <c r="A305" s="5"/>
      <c r="B305" s="5"/>
      <c r="C305" s="5"/>
      <c r="D305" s="5"/>
      <c r="E305" s="5"/>
    </row>
    <row r="306" ht="15.75" customHeight="1">
      <c r="A306" s="5"/>
      <c r="B306" s="5"/>
      <c r="C306" s="5"/>
      <c r="D306" s="5"/>
      <c r="E306" s="5"/>
    </row>
    <row r="307" ht="15.75" customHeight="1">
      <c r="A307" s="5"/>
      <c r="B307" s="5"/>
      <c r="C307" s="5"/>
      <c r="D307" s="5"/>
      <c r="E307" s="5"/>
    </row>
    <row r="308" ht="15.75" customHeight="1">
      <c r="A308" s="5"/>
      <c r="B308" s="5"/>
      <c r="C308" s="5"/>
      <c r="D308" s="5"/>
      <c r="E308" s="5"/>
    </row>
    <row r="309" ht="15.75" customHeight="1">
      <c r="A309" s="5"/>
      <c r="B309" s="5"/>
      <c r="C309" s="5"/>
      <c r="D309" s="5"/>
      <c r="E309" s="5"/>
    </row>
    <row r="310" ht="15.75" customHeight="1">
      <c r="A310" s="5"/>
      <c r="B310" s="5"/>
      <c r="C310" s="5"/>
      <c r="D310" s="5"/>
      <c r="E310" s="5"/>
    </row>
    <row r="311" ht="15.75" customHeight="1">
      <c r="A311" s="5"/>
      <c r="B311" s="5"/>
      <c r="C311" s="5"/>
      <c r="D311" s="5"/>
      <c r="E311" s="5"/>
    </row>
    <row r="312" ht="15.75" customHeight="1">
      <c r="A312" s="5"/>
      <c r="B312" s="5"/>
      <c r="C312" s="5"/>
      <c r="D312" s="5"/>
      <c r="E312" s="5"/>
    </row>
    <row r="313" ht="15.75" customHeight="1">
      <c r="A313" s="5"/>
      <c r="B313" s="5"/>
      <c r="C313" s="5"/>
      <c r="D313" s="5"/>
      <c r="E313" s="5"/>
    </row>
    <row r="314" ht="15.75" customHeight="1">
      <c r="A314" s="5"/>
      <c r="B314" s="5"/>
      <c r="C314" s="5"/>
      <c r="D314" s="5"/>
      <c r="E314" s="5"/>
    </row>
    <row r="315" ht="15.75" customHeight="1">
      <c r="A315" s="5"/>
      <c r="B315" s="5"/>
      <c r="C315" s="5"/>
      <c r="D315" s="5"/>
      <c r="E315" s="5"/>
    </row>
    <row r="316" ht="15.75" customHeight="1">
      <c r="A316" s="5"/>
      <c r="B316" s="5"/>
      <c r="C316" s="5"/>
      <c r="D316" s="5"/>
      <c r="E316" s="5"/>
    </row>
    <row r="317" ht="15.75" customHeight="1">
      <c r="A317" s="5"/>
      <c r="B317" s="5"/>
      <c r="C317" s="5"/>
      <c r="D317" s="5"/>
      <c r="E317" s="5"/>
    </row>
    <row r="318" ht="15.75" customHeight="1">
      <c r="A318" s="5"/>
      <c r="B318" s="5"/>
      <c r="C318" s="5"/>
      <c r="D318" s="5"/>
      <c r="E318" s="5"/>
    </row>
    <row r="319" ht="15.75" customHeight="1">
      <c r="A319" s="5"/>
      <c r="B319" s="5"/>
      <c r="C319" s="5"/>
      <c r="D319" s="5"/>
      <c r="E319" s="5"/>
    </row>
    <row r="320" ht="15.75" customHeight="1">
      <c r="A320" s="5"/>
      <c r="B320" s="5"/>
      <c r="C320" s="5"/>
      <c r="D320" s="5"/>
      <c r="E320" s="5"/>
    </row>
    <row r="321" ht="15.75" customHeight="1">
      <c r="A321" s="5"/>
      <c r="B321" s="5"/>
      <c r="C321" s="5"/>
      <c r="D321" s="5"/>
      <c r="E321" s="5"/>
    </row>
    <row r="322" ht="15.75" customHeight="1">
      <c r="A322" s="5"/>
      <c r="B322" s="5"/>
      <c r="C322" s="5"/>
      <c r="D322" s="5"/>
      <c r="E322" s="5"/>
    </row>
    <row r="323" ht="15.75" customHeight="1">
      <c r="A323" s="5"/>
      <c r="B323" s="5"/>
      <c r="C323" s="5"/>
      <c r="D323" s="5"/>
      <c r="E323" s="5"/>
    </row>
    <row r="324" ht="15.75" customHeight="1">
      <c r="A324" s="5"/>
      <c r="B324" s="5"/>
      <c r="C324" s="5"/>
      <c r="D324" s="5"/>
      <c r="E324" s="5"/>
    </row>
    <row r="325" ht="15.75" customHeight="1">
      <c r="A325" s="5"/>
      <c r="B325" s="5"/>
      <c r="C325" s="5"/>
      <c r="D325" s="5"/>
      <c r="E325" s="5"/>
    </row>
    <row r="326" ht="15.75" customHeight="1">
      <c r="A326" s="5"/>
      <c r="B326" s="5"/>
      <c r="C326" s="5"/>
      <c r="D326" s="5"/>
      <c r="E326" s="5"/>
    </row>
    <row r="327" ht="15.75" customHeight="1">
      <c r="A327" s="5"/>
      <c r="B327" s="5"/>
      <c r="C327" s="5"/>
      <c r="D327" s="5"/>
      <c r="E327" s="5"/>
    </row>
    <row r="328" ht="15.75" customHeight="1">
      <c r="A328" s="5"/>
      <c r="B328" s="5"/>
      <c r="C328" s="5"/>
      <c r="D328" s="5"/>
      <c r="E328" s="5"/>
    </row>
    <row r="329" ht="15.75" customHeight="1">
      <c r="A329" s="5"/>
      <c r="B329" s="5"/>
      <c r="C329" s="5"/>
      <c r="D329" s="5"/>
      <c r="E329" s="5"/>
    </row>
    <row r="330" ht="15.75" customHeight="1">
      <c r="A330" s="5"/>
      <c r="B330" s="5"/>
      <c r="C330" s="5"/>
      <c r="D330" s="5"/>
      <c r="E330" s="5"/>
    </row>
    <row r="331" ht="15.75" customHeight="1">
      <c r="A331" s="5"/>
      <c r="B331" s="5"/>
      <c r="C331" s="5"/>
      <c r="D331" s="5"/>
      <c r="E331" s="5"/>
    </row>
    <row r="332" ht="15.75" customHeight="1">
      <c r="A332" s="5"/>
      <c r="B332" s="5"/>
      <c r="C332" s="5"/>
      <c r="D332" s="5"/>
      <c r="E332" s="5"/>
    </row>
    <row r="333" ht="15.75" customHeight="1">
      <c r="A333" s="5"/>
      <c r="B333" s="5"/>
      <c r="C333" s="5"/>
      <c r="D333" s="5"/>
      <c r="E333" s="5"/>
    </row>
    <row r="334" ht="15.75" customHeight="1">
      <c r="A334" s="5"/>
      <c r="B334" s="5"/>
      <c r="C334" s="5"/>
      <c r="D334" s="5"/>
      <c r="E334" s="5"/>
    </row>
    <row r="335" ht="15.75" customHeight="1">
      <c r="A335" s="5"/>
      <c r="B335" s="5"/>
      <c r="C335" s="5"/>
      <c r="D335" s="5"/>
      <c r="E335" s="5"/>
    </row>
    <row r="336" ht="15.75" customHeight="1">
      <c r="A336" s="5"/>
      <c r="B336" s="5"/>
      <c r="C336" s="5"/>
      <c r="D336" s="5"/>
      <c r="E336" s="5"/>
    </row>
    <row r="337" ht="15.75" customHeight="1">
      <c r="A337" s="5"/>
      <c r="B337" s="5"/>
      <c r="C337" s="5"/>
      <c r="D337" s="5"/>
      <c r="E337" s="5"/>
    </row>
    <row r="338" ht="15.75" customHeight="1">
      <c r="A338" s="5"/>
      <c r="B338" s="5"/>
      <c r="C338" s="5"/>
      <c r="D338" s="5"/>
      <c r="E338" s="5"/>
    </row>
    <row r="339" ht="15.75" customHeight="1">
      <c r="A339" s="5"/>
      <c r="B339" s="5"/>
      <c r="C339" s="5"/>
      <c r="D339" s="5"/>
      <c r="E339" s="5"/>
    </row>
    <row r="340" ht="15.75" customHeight="1">
      <c r="A340" s="5"/>
      <c r="B340" s="5"/>
      <c r="C340" s="5"/>
      <c r="D340" s="5"/>
      <c r="E340" s="5"/>
    </row>
    <row r="341" ht="15.75" customHeight="1">
      <c r="A341" s="5"/>
      <c r="B341" s="5"/>
      <c r="C341" s="5"/>
      <c r="D341" s="5"/>
      <c r="E341" s="5"/>
    </row>
    <row r="342" ht="15.75" customHeight="1">
      <c r="A342" s="5"/>
      <c r="B342" s="5"/>
      <c r="C342" s="5"/>
      <c r="D342" s="5"/>
      <c r="E342" s="5"/>
    </row>
    <row r="343" ht="15.75" customHeight="1">
      <c r="A343" s="5"/>
      <c r="B343" s="5"/>
      <c r="C343" s="5"/>
      <c r="D343" s="5"/>
      <c r="E343" s="5"/>
    </row>
    <row r="344" ht="15.75" customHeight="1">
      <c r="A344" s="5"/>
      <c r="B344" s="5"/>
      <c r="C344" s="5"/>
      <c r="D344" s="5"/>
      <c r="E344" s="5"/>
    </row>
    <row r="345" ht="15.75" customHeight="1">
      <c r="A345" s="5"/>
      <c r="B345" s="5"/>
      <c r="C345" s="5"/>
      <c r="D345" s="5"/>
      <c r="E345" s="5"/>
    </row>
    <row r="346" ht="15.75" customHeight="1">
      <c r="A346" s="5"/>
      <c r="B346" s="5"/>
      <c r="C346" s="5"/>
      <c r="D346" s="5"/>
      <c r="E346" s="5"/>
    </row>
    <row r="347" ht="15.75" customHeight="1">
      <c r="A347" s="5"/>
      <c r="B347" s="5"/>
      <c r="C347" s="5"/>
      <c r="D347" s="5"/>
      <c r="E347" s="5"/>
    </row>
    <row r="348" ht="15.75" customHeight="1">
      <c r="A348" s="5"/>
      <c r="B348" s="5"/>
      <c r="C348" s="5"/>
      <c r="D348" s="5"/>
      <c r="E348" s="5"/>
    </row>
    <row r="349" ht="15.75" customHeight="1">
      <c r="A349" s="5"/>
      <c r="B349" s="5"/>
      <c r="C349" s="5"/>
      <c r="D349" s="5"/>
      <c r="E349" s="5"/>
    </row>
    <row r="350" ht="15.75" customHeight="1">
      <c r="A350" s="5"/>
      <c r="B350" s="5"/>
      <c r="C350" s="5"/>
      <c r="D350" s="5"/>
      <c r="E350" s="5"/>
    </row>
    <row r="351" ht="15.75" customHeight="1">
      <c r="A351" s="5"/>
      <c r="B351" s="5"/>
      <c r="C351" s="5"/>
      <c r="D351" s="5"/>
      <c r="E351" s="5"/>
    </row>
    <row r="352" ht="15.75" customHeight="1">
      <c r="A352" s="5"/>
      <c r="B352" s="5"/>
      <c r="C352" s="5"/>
      <c r="D352" s="5"/>
      <c r="E352" s="5"/>
    </row>
    <row r="353" ht="15.75" customHeight="1">
      <c r="A353" s="5"/>
      <c r="B353" s="5"/>
      <c r="C353" s="5"/>
      <c r="D353" s="5"/>
      <c r="E353" s="5"/>
    </row>
    <row r="354" ht="15.75" customHeight="1">
      <c r="A354" s="5"/>
      <c r="B354" s="5"/>
      <c r="C354" s="5"/>
      <c r="D354" s="5"/>
      <c r="E354" s="5"/>
    </row>
    <row r="355" ht="15.75" customHeight="1">
      <c r="A355" s="5"/>
      <c r="B355" s="5"/>
      <c r="C355" s="5"/>
      <c r="D355" s="5"/>
      <c r="E355" s="5"/>
    </row>
    <row r="356" ht="15.75" customHeight="1">
      <c r="A356" s="5"/>
      <c r="B356" s="5"/>
      <c r="C356" s="5"/>
      <c r="D356" s="5"/>
      <c r="E356" s="5"/>
    </row>
    <row r="357" ht="15.75" customHeight="1">
      <c r="A357" s="5"/>
      <c r="B357" s="5"/>
      <c r="C357" s="5"/>
      <c r="D357" s="5"/>
      <c r="E357" s="5"/>
    </row>
    <row r="358" ht="15.75" customHeight="1">
      <c r="A358" s="5"/>
      <c r="B358" s="5"/>
      <c r="C358" s="5"/>
      <c r="D358" s="5"/>
      <c r="E358" s="5"/>
    </row>
    <row r="359" ht="15.75" customHeight="1">
      <c r="A359" s="5"/>
      <c r="B359" s="5"/>
      <c r="C359" s="5"/>
      <c r="D359" s="5"/>
      <c r="E359" s="5"/>
    </row>
    <row r="360" ht="15.75" customHeight="1">
      <c r="A360" s="5"/>
      <c r="B360" s="5"/>
      <c r="C360" s="5"/>
      <c r="D360" s="5"/>
      <c r="E360" s="5"/>
    </row>
    <row r="361" ht="15.75" customHeight="1">
      <c r="A361" s="5"/>
      <c r="B361" s="5"/>
      <c r="C361" s="5"/>
      <c r="D361" s="5"/>
      <c r="E361" s="5"/>
    </row>
    <row r="362" ht="15.75" customHeight="1">
      <c r="A362" s="5"/>
      <c r="B362" s="5"/>
      <c r="C362" s="5"/>
      <c r="D362" s="5"/>
      <c r="E362" s="5"/>
    </row>
    <row r="363" ht="15.75" customHeight="1">
      <c r="A363" s="5"/>
      <c r="B363" s="5"/>
      <c r="C363" s="5"/>
      <c r="D363" s="5"/>
      <c r="E363" s="5"/>
    </row>
    <row r="364" ht="15.75" customHeight="1">
      <c r="A364" s="5"/>
      <c r="B364" s="5"/>
      <c r="C364" s="5"/>
      <c r="D364" s="5"/>
      <c r="E364" s="5"/>
    </row>
    <row r="365" ht="15.75" customHeight="1">
      <c r="A365" s="5"/>
      <c r="B365" s="5"/>
      <c r="C365" s="5"/>
      <c r="D365" s="5"/>
      <c r="E365" s="5"/>
    </row>
    <row r="366" ht="15.75" customHeight="1">
      <c r="A366" s="5"/>
      <c r="B366" s="5"/>
      <c r="C366" s="5"/>
      <c r="D366" s="5"/>
      <c r="E366" s="5"/>
    </row>
    <row r="367" ht="15.75" customHeight="1">
      <c r="A367" s="5"/>
      <c r="B367" s="5"/>
      <c r="C367" s="5"/>
      <c r="D367" s="5"/>
      <c r="E367" s="5"/>
    </row>
    <row r="368" ht="15.75" customHeight="1">
      <c r="A368" s="5"/>
      <c r="B368" s="5"/>
      <c r="C368" s="5"/>
      <c r="D368" s="5"/>
      <c r="E368" s="5"/>
    </row>
    <row r="369" ht="15.75" customHeight="1">
      <c r="A369" s="5"/>
      <c r="B369" s="5"/>
      <c r="C369" s="5"/>
      <c r="D369" s="5"/>
      <c r="E369" s="5"/>
    </row>
    <row r="370" ht="15.75" customHeight="1">
      <c r="A370" s="5"/>
      <c r="B370" s="5"/>
      <c r="C370" s="5"/>
      <c r="D370" s="5"/>
      <c r="E370" s="5"/>
    </row>
    <row r="371" ht="15.75" customHeight="1">
      <c r="A371" s="5"/>
      <c r="B371" s="5"/>
      <c r="C371" s="5"/>
      <c r="D371" s="5"/>
      <c r="E371" s="5"/>
    </row>
    <row r="372" ht="15.75" customHeight="1">
      <c r="A372" s="5"/>
      <c r="B372" s="5"/>
      <c r="C372" s="5"/>
      <c r="D372" s="5"/>
      <c r="E372" s="5"/>
    </row>
    <row r="373" ht="15.75" customHeight="1">
      <c r="A373" s="5"/>
      <c r="B373" s="5"/>
      <c r="C373" s="5"/>
      <c r="D373" s="5"/>
      <c r="E373" s="5"/>
    </row>
    <row r="374" ht="15.75" customHeight="1">
      <c r="A374" s="5"/>
      <c r="B374" s="5"/>
      <c r="C374" s="5"/>
      <c r="D374" s="5"/>
      <c r="E374" s="5"/>
    </row>
    <row r="375" ht="15.75" customHeight="1">
      <c r="A375" s="5"/>
      <c r="B375" s="5"/>
      <c r="C375" s="5"/>
      <c r="D375" s="5"/>
      <c r="E375" s="5"/>
    </row>
    <row r="376" ht="15.75" customHeight="1">
      <c r="A376" s="5"/>
      <c r="B376" s="5"/>
      <c r="C376" s="5"/>
      <c r="D376" s="5"/>
      <c r="E376" s="5"/>
    </row>
    <row r="377" ht="15.75" customHeight="1">
      <c r="A377" s="5"/>
      <c r="B377" s="5"/>
      <c r="C377" s="5"/>
      <c r="D377" s="5"/>
      <c r="E377" s="5"/>
    </row>
    <row r="378" ht="15.75" customHeight="1">
      <c r="A378" s="5"/>
      <c r="B378" s="5"/>
      <c r="C378" s="5"/>
      <c r="D378" s="5"/>
      <c r="E378" s="5"/>
    </row>
    <row r="379" ht="15.75" customHeight="1">
      <c r="A379" s="5"/>
      <c r="B379" s="5"/>
      <c r="C379" s="5"/>
      <c r="D379" s="5"/>
      <c r="E379" s="5"/>
    </row>
    <row r="380" ht="15.75" customHeight="1">
      <c r="A380" s="5"/>
      <c r="B380" s="5"/>
      <c r="C380" s="5"/>
      <c r="D380" s="5"/>
      <c r="E380" s="5"/>
    </row>
    <row r="381" ht="15.75" customHeight="1">
      <c r="A381" s="5"/>
      <c r="B381" s="5"/>
      <c r="C381" s="5"/>
      <c r="D381" s="5"/>
      <c r="E381" s="5"/>
    </row>
    <row r="382" ht="15.75" customHeight="1">
      <c r="A382" s="5"/>
      <c r="B382" s="5"/>
      <c r="C382" s="5"/>
      <c r="D382" s="5"/>
      <c r="E382" s="5"/>
    </row>
    <row r="383" ht="15.75" customHeight="1">
      <c r="A383" s="5"/>
      <c r="B383" s="5"/>
      <c r="C383" s="5"/>
      <c r="D383" s="5"/>
      <c r="E383" s="5"/>
    </row>
    <row r="384" ht="15.75" customHeight="1">
      <c r="A384" s="5"/>
      <c r="B384" s="5"/>
      <c r="C384" s="5"/>
      <c r="D384" s="5"/>
      <c r="E384" s="5"/>
    </row>
    <row r="385" ht="15.75" customHeight="1">
      <c r="A385" s="5"/>
      <c r="B385" s="5"/>
      <c r="C385" s="5"/>
      <c r="D385" s="5"/>
      <c r="E385" s="5"/>
    </row>
    <row r="386" ht="15.75" customHeight="1">
      <c r="A386" s="5"/>
      <c r="B386" s="5"/>
      <c r="C386" s="5"/>
      <c r="D386" s="5"/>
      <c r="E386" s="5"/>
    </row>
    <row r="387" ht="15.75" customHeight="1">
      <c r="A387" s="5"/>
      <c r="B387" s="5"/>
      <c r="C387" s="5"/>
      <c r="D387" s="5"/>
      <c r="E387" s="5"/>
    </row>
    <row r="388" ht="15.75" customHeight="1">
      <c r="A388" s="5"/>
      <c r="B388" s="5"/>
      <c r="C388" s="5"/>
      <c r="D388" s="5"/>
      <c r="E388" s="5"/>
    </row>
    <row r="389" ht="15.75" customHeight="1">
      <c r="A389" s="5"/>
      <c r="B389" s="5"/>
      <c r="C389" s="5"/>
      <c r="D389" s="5"/>
      <c r="E389" s="5"/>
    </row>
    <row r="390" ht="15.75" customHeight="1">
      <c r="A390" s="5"/>
      <c r="B390" s="5"/>
      <c r="C390" s="5"/>
      <c r="D390" s="5"/>
      <c r="E390" s="5"/>
    </row>
    <row r="391" ht="15.75" customHeight="1">
      <c r="A391" s="5"/>
      <c r="B391" s="5"/>
      <c r="C391" s="5"/>
      <c r="D391" s="5"/>
      <c r="E391" s="5"/>
    </row>
    <row r="392" ht="15.75" customHeight="1">
      <c r="A392" s="5"/>
      <c r="B392" s="5"/>
      <c r="C392" s="5"/>
      <c r="D392" s="5"/>
      <c r="E392" s="5"/>
    </row>
    <row r="393" ht="15.75" customHeight="1">
      <c r="A393" s="5"/>
      <c r="B393" s="5"/>
      <c r="C393" s="5"/>
      <c r="D393" s="5"/>
      <c r="E393" s="5"/>
    </row>
    <row r="394" ht="15.75" customHeight="1">
      <c r="A394" s="5"/>
      <c r="B394" s="5"/>
      <c r="C394" s="5"/>
      <c r="D394" s="5"/>
      <c r="E394" s="5"/>
    </row>
    <row r="395" ht="15.75" customHeight="1">
      <c r="A395" s="5"/>
      <c r="B395" s="5"/>
      <c r="C395" s="5"/>
      <c r="D395" s="5"/>
      <c r="E395" s="5"/>
    </row>
    <row r="396" ht="15.75" customHeight="1">
      <c r="A396" s="5"/>
      <c r="B396" s="5"/>
      <c r="C396" s="5"/>
      <c r="D396" s="5"/>
      <c r="E396" s="5"/>
    </row>
    <row r="397" ht="15.75" customHeight="1">
      <c r="A397" s="5"/>
      <c r="B397" s="5"/>
      <c r="C397" s="5"/>
      <c r="D397" s="5"/>
      <c r="E397" s="5"/>
    </row>
    <row r="398" ht="15.75" customHeight="1">
      <c r="A398" s="5"/>
      <c r="B398" s="5"/>
      <c r="C398" s="5"/>
      <c r="D398" s="5"/>
      <c r="E398" s="5"/>
    </row>
    <row r="399" ht="15.75" customHeight="1">
      <c r="A399" s="5"/>
      <c r="B399" s="5"/>
      <c r="C399" s="5"/>
      <c r="D399" s="5"/>
      <c r="E399" s="5"/>
    </row>
    <row r="400" ht="15.75" customHeight="1">
      <c r="A400" s="5"/>
      <c r="B400" s="5"/>
      <c r="C400" s="5"/>
      <c r="D400" s="5"/>
      <c r="E400" s="5"/>
    </row>
    <row r="401" ht="15.75" customHeight="1">
      <c r="A401" s="5"/>
      <c r="B401" s="5"/>
      <c r="C401" s="5"/>
      <c r="D401" s="5"/>
      <c r="E401" s="5"/>
    </row>
    <row r="402" ht="15.75" customHeight="1">
      <c r="A402" s="5"/>
      <c r="B402" s="5"/>
      <c r="C402" s="5"/>
      <c r="D402" s="5"/>
      <c r="E402" s="5"/>
    </row>
    <row r="403" ht="15.75" customHeight="1">
      <c r="A403" s="5"/>
      <c r="B403" s="5"/>
      <c r="C403" s="5"/>
      <c r="D403" s="5"/>
      <c r="E403" s="5"/>
    </row>
    <row r="404" ht="15.75" customHeight="1">
      <c r="A404" s="5"/>
      <c r="B404" s="5"/>
      <c r="C404" s="5"/>
      <c r="D404" s="5"/>
      <c r="E404" s="5"/>
    </row>
    <row r="405" ht="15.75" customHeight="1">
      <c r="A405" s="5"/>
      <c r="B405" s="5"/>
      <c r="C405" s="5"/>
      <c r="D405" s="5"/>
      <c r="E405" s="5"/>
    </row>
    <row r="406" ht="15.75" customHeight="1">
      <c r="A406" s="5"/>
      <c r="B406" s="5"/>
      <c r="C406" s="5"/>
      <c r="D406" s="5"/>
      <c r="E406" s="5"/>
    </row>
    <row r="407" ht="15.75" customHeight="1">
      <c r="A407" s="5"/>
      <c r="B407" s="5"/>
      <c r="C407" s="5"/>
      <c r="D407" s="5"/>
      <c r="E407" s="5"/>
    </row>
    <row r="408" ht="15.75" customHeight="1">
      <c r="A408" s="5"/>
      <c r="B408" s="5"/>
      <c r="C408" s="5"/>
      <c r="D408" s="5"/>
      <c r="E408" s="5"/>
    </row>
    <row r="409" ht="15.75" customHeight="1">
      <c r="A409" s="5"/>
      <c r="B409" s="5"/>
      <c r="C409" s="5"/>
      <c r="D409" s="5"/>
      <c r="E409" s="5"/>
    </row>
    <row r="410" ht="15.75" customHeight="1">
      <c r="A410" s="5"/>
      <c r="B410" s="5"/>
      <c r="C410" s="5"/>
      <c r="D410" s="5"/>
      <c r="E410" s="5"/>
    </row>
    <row r="411" ht="15.75" customHeight="1">
      <c r="A411" s="5"/>
      <c r="B411" s="5"/>
      <c r="C411" s="5"/>
      <c r="D411" s="5"/>
      <c r="E411" s="5"/>
    </row>
    <row r="412" ht="15.75" customHeight="1">
      <c r="A412" s="5"/>
      <c r="B412" s="5"/>
      <c r="C412" s="5"/>
      <c r="D412" s="5"/>
      <c r="E412" s="5"/>
    </row>
    <row r="413" ht="15.75" customHeight="1">
      <c r="A413" s="5"/>
      <c r="B413" s="5"/>
      <c r="C413" s="5"/>
      <c r="D413" s="5"/>
      <c r="E413" s="5"/>
    </row>
    <row r="414" ht="15.75" customHeight="1">
      <c r="A414" s="5"/>
      <c r="B414" s="5"/>
      <c r="C414" s="5"/>
      <c r="D414" s="5"/>
      <c r="E414" s="5"/>
    </row>
    <row r="415" ht="15.75" customHeight="1">
      <c r="A415" s="5"/>
      <c r="B415" s="5"/>
      <c r="C415" s="5"/>
      <c r="D415" s="5"/>
      <c r="E415" s="5"/>
    </row>
    <row r="416" ht="15.75" customHeight="1">
      <c r="A416" s="5"/>
      <c r="B416" s="5"/>
      <c r="C416" s="5"/>
      <c r="D416" s="5"/>
      <c r="E416" s="5"/>
    </row>
    <row r="417" ht="15.75" customHeight="1">
      <c r="A417" s="5"/>
      <c r="B417" s="5"/>
      <c r="C417" s="5"/>
      <c r="D417" s="5"/>
      <c r="E417" s="5"/>
    </row>
    <row r="418" ht="15.75" customHeight="1">
      <c r="A418" s="5"/>
      <c r="B418" s="5"/>
      <c r="C418" s="5"/>
      <c r="D418" s="5"/>
      <c r="E418" s="5"/>
    </row>
    <row r="419" ht="15.75" customHeight="1">
      <c r="A419" s="5"/>
      <c r="B419" s="5"/>
      <c r="C419" s="5"/>
      <c r="D419" s="5"/>
      <c r="E419" s="5"/>
    </row>
    <row r="420" ht="15.75" customHeight="1">
      <c r="A420" s="5"/>
      <c r="B420" s="5"/>
      <c r="C420" s="5"/>
      <c r="D420" s="5"/>
      <c r="E420" s="5"/>
    </row>
    <row r="421" ht="15.75" customHeight="1">
      <c r="A421" s="5"/>
      <c r="B421" s="5"/>
      <c r="C421" s="5"/>
      <c r="D421" s="5"/>
      <c r="E421" s="5"/>
    </row>
    <row r="422" ht="15.75" customHeight="1">
      <c r="A422" s="5"/>
      <c r="B422" s="5"/>
      <c r="C422" s="5"/>
      <c r="D422" s="5"/>
      <c r="E422" s="5"/>
    </row>
    <row r="423" ht="15.75" customHeight="1">
      <c r="A423" s="5"/>
      <c r="B423" s="5"/>
      <c r="C423" s="5"/>
      <c r="D423" s="5"/>
      <c r="E423" s="5"/>
    </row>
    <row r="424" ht="15.75" customHeight="1">
      <c r="A424" s="5"/>
      <c r="B424" s="5"/>
      <c r="C424" s="5"/>
      <c r="D424" s="5"/>
      <c r="E424" s="5"/>
    </row>
    <row r="425" ht="15.75" customHeight="1">
      <c r="A425" s="5"/>
      <c r="B425" s="5"/>
      <c r="C425" s="5"/>
      <c r="D425" s="5"/>
      <c r="E425" s="5"/>
    </row>
    <row r="426" ht="15.75" customHeight="1">
      <c r="A426" s="5"/>
      <c r="B426" s="5"/>
      <c r="C426" s="5"/>
      <c r="D426" s="5"/>
      <c r="E426" s="5"/>
    </row>
    <row r="427" ht="15.75" customHeight="1">
      <c r="A427" s="5"/>
      <c r="B427" s="5"/>
      <c r="C427" s="5"/>
      <c r="D427" s="5"/>
      <c r="E427" s="5"/>
    </row>
    <row r="428" ht="15.75" customHeight="1">
      <c r="A428" s="5"/>
      <c r="B428" s="5"/>
      <c r="C428" s="5"/>
      <c r="D428" s="5"/>
      <c r="E428" s="5"/>
    </row>
    <row r="429" ht="15.75" customHeight="1">
      <c r="A429" s="5"/>
      <c r="B429" s="5"/>
      <c r="C429" s="5"/>
      <c r="D429" s="5"/>
      <c r="E429" s="5"/>
    </row>
    <row r="430" ht="15.75" customHeight="1">
      <c r="A430" s="5"/>
      <c r="B430" s="5"/>
      <c r="C430" s="5"/>
      <c r="D430" s="5"/>
      <c r="E430" s="5"/>
    </row>
    <row r="431" ht="15.75" customHeight="1">
      <c r="A431" s="5"/>
      <c r="B431" s="5"/>
      <c r="C431" s="5"/>
      <c r="D431" s="5"/>
      <c r="E431" s="5"/>
    </row>
    <row r="432" ht="15.75" customHeight="1">
      <c r="A432" s="5"/>
      <c r="B432" s="5"/>
      <c r="C432" s="5"/>
      <c r="D432" s="5"/>
      <c r="E432" s="5"/>
    </row>
    <row r="433" ht="15.75" customHeight="1">
      <c r="A433" s="5"/>
      <c r="B433" s="5"/>
      <c r="C433" s="5"/>
      <c r="D433" s="5"/>
      <c r="E433" s="5"/>
    </row>
    <row r="434" ht="15.75" customHeight="1">
      <c r="A434" s="5"/>
      <c r="B434" s="5"/>
      <c r="C434" s="5"/>
      <c r="D434" s="5"/>
      <c r="E434" s="5"/>
    </row>
    <row r="435" ht="15.75" customHeight="1">
      <c r="A435" s="5"/>
      <c r="B435" s="5"/>
      <c r="C435" s="5"/>
      <c r="D435" s="5"/>
      <c r="E435" s="5"/>
    </row>
    <row r="436" ht="15.75" customHeight="1">
      <c r="A436" s="5"/>
      <c r="B436" s="5"/>
      <c r="C436" s="5"/>
      <c r="D436" s="5"/>
      <c r="E436" s="5"/>
    </row>
    <row r="437" ht="15.75" customHeight="1">
      <c r="A437" s="5"/>
      <c r="B437" s="5"/>
      <c r="C437" s="5"/>
      <c r="D437" s="5"/>
      <c r="E437" s="5"/>
    </row>
    <row r="438" ht="15.75" customHeight="1">
      <c r="A438" s="5"/>
      <c r="B438" s="5"/>
      <c r="C438" s="5"/>
      <c r="D438" s="5"/>
      <c r="E438" s="5"/>
    </row>
    <row r="439" ht="15.75" customHeight="1">
      <c r="A439" s="5"/>
      <c r="B439" s="5"/>
      <c r="C439" s="5"/>
      <c r="D439" s="5"/>
      <c r="E439" s="5"/>
    </row>
    <row r="440" ht="15.75" customHeight="1">
      <c r="A440" s="5"/>
      <c r="B440" s="5"/>
      <c r="C440" s="5"/>
      <c r="D440" s="5"/>
      <c r="E440" s="5"/>
    </row>
    <row r="441" ht="15.75" customHeight="1">
      <c r="A441" s="5"/>
      <c r="B441" s="5"/>
      <c r="C441" s="5"/>
      <c r="D441" s="5"/>
      <c r="E441" s="5"/>
    </row>
    <row r="442" ht="15.75" customHeight="1">
      <c r="A442" s="5"/>
      <c r="B442" s="5"/>
      <c r="C442" s="5"/>
      <c r="D442" s="5"/>
      <c r="E442" s="5"/>
    </row>
    <row r="443" ht="15.75" customHeight="1">
      <c r="A443" s="5"/>
      <c r="B443" s="5"/>
      <c r="C443" s="5"/>
      <c r="D443" s="5"/>
      <c r="E443" s="5"/>
    </row>
    <row r="444" ht="15.75" customHeight="1">
      <c r="A444" s="5"/>
      <c r="B444" s="5"/>
      <c r="C444" s="5"/>
      <c r="D444" s="5"/>
      <c r="E444" s="5"/>
    </row>
    <row r="445" ht="15.75" customHeight="1">
      <c r="A445" s="5"/>
      <c r="B445" s="5"/>
      <c r="C445" s="5"/>
      <c r="D445" s="5"/>
      <c r="E445" s="5"/>
    </row>
    <row r="446" ht="15.75" customHeight="1">
      <c r="A446" s="5"/>
      <c r="B446" s="5"/>
      <c r="C446" s="5"/>
      <c r="D446" s="5"/>
      <c r="E446" s="5"/>
    </row>
    <row r="447" ht="15.75" customHeight="1">
      <c r="A447" s="5"/>
      <c r="B447" s="5"/>
      <c r="C447" s="5"/>
      <c r="D447" s="5"/>
      <c r="E447" s="5"/>
    </row>
    <row r="448" ht="15.75" customHeight="1">
      <c r="A448" s="5"/>
      <c r="B448" s="5"/>
      <c r="C448" s="5"/>
      <c r="D448" s="5"/>
      <c r="E448" s="5"/>
    </row>
    <row r="449" ht="15.75" customHeight="1">
      <c r="A449" s="5"/>
      <c r="B449" s="5"/>
      <c r="C449" s="5"/>
      <c r="D449" s="5"/>
      <c r="E449" s="5"/>
    </row>
    <row r="450" ht="15.75" customHeight="1">
      <c r="A450" s="5"/>
      <c r="B450" s="5"/>
      <c r="C450" s="5"/>
      <c r="D450" s="5"/>
      <c r="E450" s="5"/>
    </row>
    <row r="451" ht="15.75" customHeight="1">
      <c r="A451" s="5"/>
      <c r="B451" s="5"/>
      <c r="C451" s="5"/>
      <c r="D451" s="5"/>
      <c r="E451" s="5"/>
    </row>
    <row r="452" ht="15.75" customHeight="1">
      <c r="A452" s="5"/>
      <c r="B452" s="5"/>
      <c r="C452" s="5"/>
      <c r="D452" s="5"/>
      <c r="E452" s="5"/>
    </row>
    <row r="453" ht="15.75" customHeight="1">
      <c r="A453" s="5"/>
      <c r="B453" s="5"/>
      <c r="C453" s="5"/>
      <c r="D453" s="5"/>
      <c r="E453" s="5"/>
    </row>
    <row r="454" ht="15.75" customHeight="1">
      <c r="A454" s="5"/>
      <c r="B454" s="5"/>
      <c r="C454" s="5"/>
      <c r="D454" s="5"/>
      <c r="E454" s="5"/>
    </row>
    <row r="455" ht="15.75" customHeight="1">
      <c r="A455" s="5"/>
      <c r="B455" s="5"/>
      <c r="C455" s="5"/>
      <c r="D455" s="5"/>
      <c r="E455" s="5"/>
    </row>
    <row r="456" ht="15.75" customHeight="1">
      <c r="A456" s="5"/>
      <c r="B456" s="5"/>
      <c r="C456" s="5"/>
      <c r="D456" s="5"/>
      <c r="E456" s="5"/>
    </row>
    <row r="457" ht="15.75" customHeight="1">
      <c r="A457" s="5"/>
      <c r="B457" s="5"/>
      <c r="C457" s="5"/>
      <c r="D457" s="5"/>
      <c r="E457" s="5"/>
    </row>
    <row r="458" ht="15.75" customHeight="1">
      <c r="A458" s="5"/>
      <c r="B458" s="5"/>
      <c r="C458" s="5"/>
      <c r="D458" s="5"/>
      <c r="E458" s="5"/>
    </row>
    <row r="459" ht="15.75" customHeight="1">
      <c r="A459" s="5"/>
      <c r="B459" s="5"/>
      <c r="C459" s="5"/>
      <c r="D459" s="5"/>
      <c r="E459" s="5"/>
    </row>
    <row r="460" ht="15.75" customHeight="1">
      <c r="A460" s="5"/>
      <c r="B460" s="5"/>
      <c r="C460" s="5"/>
      <c r="D460" s="5"/>
      <c r="E460" s="5"/>
    </row>
    <row r="461" ht="15.75" customHeight="1">
      <c r="A461" s="5"/>
      <c r="B461" s="5"/>
      <c r="C461" s="5"/>
      <c r="D461" s="5"/>
      <c r="E461" s="5"/>
    </row>
    <row r="462" ht="15.75" customHeight="1">
      <c r="A462" s="5"/>
      <c r="B462" s="5"/>
      <c r="C462" s="5"/>
      <c r="D462" s="5"/>
      <c r="E462" s="5"/>
    </row>
    <row r="463" ht="15.75" customHeight="1">
      <c r="A463" s="5"/>
      <c r="B463" s="5"/>
      <c r="C463" s="5"/>
      <c r="D463" s="5"/>
      <c r="E463" s="5"/>
    </row>
    <row r="464" ht="15.75" customHeight="1">
      <c r="A464" s="5"/>
      <c r="B464" s="5"/>
      <c r="C464" s="5"/>
      <c r="D464" s="5"/>
      <c r="E464" s="5"/>
    </row>
    <row r="465" ht="15.75" customHeight="1">
      <c r="A465" s="5"/>
      <c r="B465" s="5"/>
      <c r="C465" s="5"/>
      <c r="D465" s="5"/>
      <c r="E465" s="5"/>
    </row>
    <row r="466" ht="15.75" customHeight="1">
      <c r="A466" s="5"/>
      <c r="B466" s="5"/>
      <c r="C466" s="5"/>
      <c r="D466" s="5"/>
      <c r="E466" s="5"/>
    </row>
    <row r="467" ht="15.75" customHeight="1">
      <c r="A467" s="5"/>
      <c r="B467" s="5"/>
      <c r="C467" s="5"/>
      <c r="D467" s="5"/>
      <c r="E467" s="5"/>
    </row>
    <row r="468" ht="15.75" customHeight="1">
      <c r="A468" s="5"/>
      <c r="B468" s="5"/>
      <c r="C468" s="5"/>
      <c r="D468" s="5"/>
      <c r="E468" s="5"/>
    </row>
    <row r="469" ht="15.75" customHeight="1">
      <c r="A469" s="5"/>
      <c r="B469" s="5"/>
      <c r="C469" s="5"/>
      <c r="D469" s="5"/>
      <c r="E469" s="5"/>
    </row>
    <row r="470" ht="15.75" customHeight="1">
      <c r="A470" s="5"/>
      <c r="B470" s="5"/>
      <c r="C470" s="5"/>
      <c r="D470" s="5"/>
      <c r="E470" s="5"/>
    </row>
    <row r="471" ht="15.75" customHeight="1">
      <c r="A471" s="5"/>
      <c r="B471" s="5"/>
      <c r="C471" s="5"/>
      <c r="D471" s="5"/>
      <c r="E471" s="5"/>
    </row>
    <row r="472" ht="15.75" customHeight="1">
      <c r="A472" s="5"/>
      <c r="B472" s="5"/>
      <c r="C472" s="5"/>
      <c r="D472" s="5"/>
      <c r="E472" s="5"/>
    </row>
    <row r="473" ht="15.75" customHeight="1">
      <c r="A473" s="5"/>
      <c r="B473" s="5"/>
      <c r="C473" s="5"/>
      <c r="D473" s="5"/>
      <c r="E473" s="5"/>
    </row>
    <row r="474" ht="15.75" customHeight="1">
      <c r="A474" s="5"/>
      <c r="B474" s="5"/>
      <c r="C474" s="5"/>
      <c r="D474" s="5"/>
      <c r="E474" s="5"/>
    </row>
    <row r="475" ht="15.75" customHeight="1">
      <c r="A475" s="5"/>
      <c r="B475" s="5"/>
      <c r="C475" s="5"/>
      <c r="D475" s="5"/>
      <c r="E475" s="5"/>
    </row>
    <row r="476" ht="15.75" customHeight="1">
      <c r="A476" s="5"/>
      <c r="B476" s="5"/>
      <c r="C476" s="5"/>
      <c r="D476" s="5"/>
      <c r="E476" s="5"/>
    </row>
    <row r="477" ht="15.75" customHeight="1">
      <c r="A477" s="5"/>
      <c r="B477" s="5"/>
      <c r="C477" s="5"/>
      <c r="D477" s="5"/>
      <c r="E477" s="5"/>
    </row>
    <row r="478" ht="15.75" customHeight="1">
      <c r="A478" s="5"/>
      <c r="B478" s="5"/>
      <c r="C478" s="5"/>
      <c r="D478" s="5"/>
      <c r="E478" s="5"/>
    </row>
    <row r="479" ht="15.75" customHeight="1">
      <c r="A479" s="5"/>
      <c r="B479" s="5"/>
      <c r="C479" s="5"/>
      <c r="D479" s="5"/>
      <c r="E479" s="5"/>
    </row>
    <row r="480" ht="15.75" customHeight="1">
      <c r="A480" s="5"/>
      <c r="B480" s="5"/>
      <c r="C480" s="5"/>
      <c r="D480" s="5"/>
      <c r="E480" s="5"/>
    </row>
    <row r="481" ht="15.75" customHeight="1">
      <c r="A481" s="5"/>
      <c r="B481" s="5"/>
      <c r="C481" s="5"/>
      <c r="D481" s="5"/>
      <c r="E481" s="5"/>
    </row>
    <row r="482" ht="15.75" customHeight="1">
      <c r="A482" s="5"/>
      <c r="B482" s="5"/>
      <c r="C482" s="5"/>
      <c r="D482" s="5"/>
      <c r="E482" s="5"/>
    </row>
    <row r="483" ht="15.75" customHeight="1">
      <c r="A483" s="5"/>
      <c r="B483" s="5"/>
      <c r="C483" s="5"/>
      <c r="D483" s="5"/>
      <c r="E483" s="5"/>
    </row>
    <row r="484" ht="15.75" customHeight="1">
      <c r="A484" s="5"/>
      <c r="B484" s="5"/>
      <c r="C484" s="5"/>
      <c r="D484" s="5"/>
      <c r="E484" s="5"/>
    </row>
    <row r="485" ht="15.75" customHeight="1">
      <c r="A485" s="5"/>
      <c r="B485" s="5"/>
      <c r="C485" s="5"/>
      <c r="D485" s="5"/>
      <c r="E485" s="5"/>
    </row>
    <row r="486" ht="15.75" customHeight="1">
      <c r="A486" s="5"/>
      <c r="B486" s="5"/>
      <c r="C486" s="5"/>
      <c r="D486" s="5"/>
      <c r="E486" s="5"/>
    </row>
    <row r="487" ht="15.75" customHeight="1">
      <c r="A487" s="5"/>
      <c r="B487" s="5"/>
      <c r="C487" s="5"/>
      <c r="D487" s="5"/>
      <c r="E487" s="5"/>
    </row>
    <row r="488" ht="15.75" customHeight="1">
      <c r="A488" s="5"/>
      <c r="B488" s="5"/>
      <c r="C488" s="5"/>
      <c r="D488" s="5"/>
      <c r="E488" s="5"/>
    </row>
    <row r="489" ht="15.75" customHeight="1">
      <c r="A489" s="5"/>
      <c r="B489" s="5"/>
      <c r="C489" s="5"/>
      <c r="D489" s="5"/>
      <c r="E489" s="5"/>
    </row>
    <row r="490" ht="15.75" customHeight="1">
      <c r="A490" s="5"/>
      <c r="B490" s="5"/>
      <c r="C490" s="5"/>
      <c r="D490" s="5"/>
      <c r="E490" s="5"/>
    </row>
    <row r="491" ht="15.75" customHeight="1">
      <c r="A491" s="5"/>
      <c r="B491" s="5"/>
      <c r="C491" s="5"/>
      <c r="D491" s="5"/>
      <c r="E491" s="5"/>
    </row>
    <row r="492" ht="15.75" customHeight="1">
      <c r="A492" s="5"/>
      <c r="B492" s="5"/>
      <c r="C492" s="5"/>
      <c r="D492" s="5"/>
      <c r="E492" s="5"/>
    </row>
    <row r="493" ht="15.75" customHeight="1">
      <c r="A493" s="5"/>
      <c r="B493" s="5"/>
      <c r="C493" s="5"/>
      <c r="D493" s="5"/>
      <c r="E493" s="5"/>
    </row>
    <row r="494" ht="15.75" customHeight="1">
      <c r="A494" s="5"/>
      <c r="B494" s="5"/>
      <c r="C494" s="5"/>
      <c r="D494" s="5"/>
      <c r="E494" s="5"/>
    </row>
    <row r="495" ht="15.75" customHeight="1">
      <c r="A495" s="5"/>
      <c r="B495" s="5"/>
      <c r="C495" s="5"/>
      <c r="D495" s="5"/>
      <c r="E495" s="5"/>
    </row>
    <row r="496" ht="15.75" customHeight="1">
      <c r="A496" s="5"/>
      <c r="B496" s="5"/>
      <c r="C496" s="5"/>
      <c r="D496" s="5"/>
      <c r="E496" s="5"/>
    </row>
    <row r="497" ht="15.75" customHeight="1">
      <c r="A497" s="5"/>
      <c r="B497" s="5"/>
      <c r="C497" s="5"/>
      <c r="D497" s="5"/>
      <c r="E497" s="5"/>
    </row>
    <row r="498" ht="15.75" customHeight="1">
      <c r="A498" s="5"/>
      <c r="B498" s="5"/>
      <c r="C498" s="5"/>
      <c r="D498" s="5"/>
      <c r="E498" s="5"/>
    </row>
    <row r="499" ht="15.75" customHeight="1">
      <c r="A499" s="5"/>
      <c r="B499" s="5"/>
      <c r="C499" s="5"/>
      <c r="D499" s="5"/>
      <c r="E499" s="5"/>
    </row>
    <row r="500" ht="15.75" customHeight="1">
      <c r="A500" s="5"/>
      <c r="B500" s="5"/>
      <c r="C500" s="5"/>
      <c r="D500" s="5"/>
      <c r="E500" s="5"/>
    </row>
    <row r="501" ht="15.75" customHeight="1">
      <c r="A501" s="5"/>
      <c r="B501" s="5"/>
      <c r="C501" s="5"/>
      <c r="D501" s="5"/>
      <c r="E501" s="5"/>
    </row>
    <row r="502" ht="15.75" customHeight="1">
      <c r="A502" s="5"/>
      <c r="B502" s="5"/>
      <c r="C502" s="5"/>
      <c r="D502" s="5"/>
      <c r="E502" s="5"/>
    </row>
    <row r="503" ht="15.75" customHeight="1">
      <c r="A503" s="5"/>
      <c r="B503" s="5"/>
      <c r="C503" s="5"/>
      <c r="D503" s="5"/>
      <c r="E503" s="5"/>
    </row>
    <row r="504" ht="15.75" customHeight="1">
      <c r="A504" s="5"/>
      <c r="B504" s="5"/>
      <c r="C504" s="5"/>
      <c r="D504" s="5"/>
      <c r="E504" s="5"/>
    </row>
    <row r="505" ht="15.75" customHeight="1">
      <c r="A505" s="5"/>
      <c r="B505" s="5"/>
      <c r="C505" s="5"/>
      <c r="D505" s="5"/>
      <c r="E505" s="5"/>
    </row>
    <row r="506" ht="15.75" customHeight="1">
      <c r="A506" s="5"/>
      <c r="B506" s="5"/>
      <c r="C506" s="5"/>
      <c r="D506" s="5"/>
      <c r="E506" s="5"/>
    </row>
    <row r="507" ht="15.75" customHeight="1">
      <c r="A507" s="5"/>
      <c r="B507" s="5"/>
      <c r="C507" s="5"/>
      <c r="D507" s="5"/>
      <c r="E507" s="5"/>
    </row>
    <row r="508" ht="15.75" customHeight="1">
      <c r="A508" s="5"/>
      <c r="B508" s="5"/>
      <c r="C508" s="5"/>
      <c r="D508" s="5"/>
      <c r="E508" s="5"/>
    </row>
    <row r="509" ht="15.75" customHeight="1">
      <c r="A509" s="5"/>
      <c r="B509" s="5"/>
      <c r="C509" s="5"/>
      <c r="D509" s="5"/>
      <c r="E509" s="5"/>
    </row>
    <row r="510" ht="15.75" customHeight="1">
      <c r="A510" s="5"/>
      <c r="B510" s="5"/>
      <c r="C510" s="5"/>
      <c r="D510" s="5"/>
      <c r="E510" s="5"/>
    </row>
    <row r="511" ht="15.75" customHeight="1">
      <c r="A511" s="5"/>
      <c r="B511" s="5"/>
      <c r="C511" s="5"/>
      <c r="D511" s="5"/>
      <c r="E511" s="5"/>
    </row>
    <row r="512" ht="15.75" customHeight="1">
      <c r="A512" s="5"/>
      <c r="B512" s="5"/>
      <c r="C512" s="5"/>
      <c r="D512" s="5"/>
      <c r="E512" s="5"/>
    </row>
    <row r="513" ht="15.75" customHeight="1">
      <c r="A513" s="5"/>
      <c r="B513" s="5"/>
      <c r="C513" s="5"/>
      <c r="D513" s="5"/>
      <c r="E513" s="5"/>
    </row>
    <row r="514" ht="15.75" customHeight="1">
      <c r="A514" s="5"/>
      <c r="B514" s="5"/>
      <c r="C514" s="5"/>
      <c r="D514" s="5"/>
      <c r="E514" s="5"/>
    </row>
    <row r="515" ht="15.75" customHeight="1">
      <c r="A515" s="5"/>
      <c r="B515" s="5"/>
      <c r="C515" s="5"/>
      <c r="D515" s="5"/>
      <c r="E515" s="5"/>
    </row>
    <row r="516" ht="15.75" customHeight="1">
      <c r="A516" s="5"/>
      <c r="B516" s="5"/>
      <c r="C516" s="5"/>
      <c r="D516" s="5"/>
      <c r="E516" s="5"/>
    </row>
    <row r="517" ht="15.75" customHeight="1">
      <c r="A517" s="5"/>
      <c r="B517" s="5"/>
      <c r="C517" s="5"/>
      <c r="D517" s="5"/>
      <c r="E517" s="5"/>
    </row>
    <row r="518" ht="15.75" customHeight="1">
      <c r="A518" s="5"/>
      <c r="B518" s="5"/>
      <c r="C518" s="5"/>
      <c r="D518" s="5"/>
      <c r="E518" s="5"/>
    </row>
    <row r="519" ht="15.75" customHeight="1">
      <c r="A519" s="5"/>
      <c r="B519" s="5"/>
      <c r="C519" s="5"/>
      <c r="D519" s="5"/>
      <c r="E519" s="5"/>
    </row>
    <row r="520" ht="15.75" customHeight="1">
      <c r="A520" s="5"/>
      <c r="B520" s="5"/>
      <c r="C520" s="5"/>
      <c r="D520" s="5"/>
      <c r="E520" s="5"/>
    </row>
    <row r="521" ht="15.75" customHeight="1">
      <c r="A521" s="5"/>
      <c r="B521" s="5"/>
      <c r="C521" s="5"/>
      <c r="D521" s="5"/>
      <c r="E521" s="5"/>
    </row>
    <row r="522" ht="15.75" customHeight="1">
      <c r="A522" s="5"/>
      <c r="B522" s="5"/>
      <c r="C522" s="5"/>
      <c r="D522" s="5"/>
      <c r="E522" s="5"/>
    </row>
    <row r="523" ht="15.75" customHeight="1">
      <c r="A523" s="5"/>
      <c r="B523" s="5"/>
      <c r="C523" s="5"/>
      <c r="D523" s="5"/>
      <c r="E523" s="5"/>
    </row>
    <row r="524" ht="15.75" customHeight="1">
      <c r="A524" s="5"/>
      <c r="B524" s="5"/>
      <c r="C524" s="5"/>
      <c r="D524" s="5"/>
      <c r="E524" s="5"/>
    </row>
    <row r="525" ht="15.75" customHeight="1">
      <c r="A525" s="5"/>
      <c r="B525" s="5"/>
      <c r="C525" s="5"/>
      <c r="D525" s="5"/>
      <c r="E525" s="5"/>
    </row>
    <row r="526" ht="15.75" customHeight="1">
      <c r="A526" s="5"/>
      <c r="B526" s="5"/>
      <c r="C526" s="5"/>
      <c r="D526" s="5"/>
      <c r="E526" s="5"/>
    </row>
    <row r="527" ht="15.75" customHeight="1">
      <c r="A527" s="5"/>
      <c r="B527" s="5"/>
      <c r="C527" s="5"/>
      <c r="D527" s="5"/>
      <c r="E527" s="5"/>
    </row>
    <row r="528" ht="15.75" customHeight="1">
      <c r="A528" s="5"/>
      <c r="B528" s="5"/>
      <c r="C528" s="5"/>
      <c r="D528" s="5"/>
      <c r="E528" s="5"/>
    </row>
    <row r="529" ht="15.75" customHeight="1">
      <c r="A529" s="5"/>
      <c r="B529" s="5"/>
      <c r="C529" s="5"/>
      <c r="D529" s="5"/>
      <c r="E529" s="5"/>
    </row>
    <row r="530" ht="15.75" customHeight="1">
      <c r="A530" s="5"/>
      <c r="B530" s="5"/>
      <c r="C530" s="5"/>
      <c r="D530" s="5"/>
      <c r="E530" s="5"/>
    </row>
    <row r="531" ht="15.75" customHeight="1">
      <c r="A531" s="5"/>
      <c r="B531" s="5"/>
      <c r="C531" s="5"/>
      <c r="D531" s="5"/>
      <c r="E531" s="5"/>
    </row>
    <row r="532" ht="15.75" customHeight="1">
      <c r="A532" s="5"/>
      <c r="B532" s="5"/>
      <c r="C532" s="5"/>
      <c r="D532" s="5"/>
      <c r="E532" s="5"/>
    </row>
    <row r="533" ht="15.75" customHeight="1">
      <c r="A533" s="5"/>
      <c r="B533" s="5"/>
      <c r="C533" s="5"/>
      <c r="D533" s="5"/>
      <c r="E533" s="5"/>
    </row>
    <row r="534" ht="15.75" customHeight="1">
      <c r="A534" s="5"/>
      <c r="B534" s="5"/>
      <c r="C534" s="5"/>
      <c r="D534" s="5"/>
      <c r="E534" s="5"/>
    </row>
    <row r="535" ht="15.75" customHeight="1">
      <c r="A535" s="5"/>
      <c r="B535" s="5"/>
      <c r="C535" s="5"/>
      <c r="D535" s="5"/>
      <c r="E535" s="5"/>
    </row>
    <row r="536" ht="15.75" customHeight="1">
      <c r="A536" s="5"/>
      <c r="B536" s="5"/>
      <c r="C536" s="5"/>
      <c r="D536" s="5"/>
      <c r="E536" s="5"/>
    </row>
    <row r="537" ht="15.75" customHeight="1">
      <c r="A537" s="5"/>
      <c r="B537" s="5"/>
      <c r="C537" s="5"/>
      <c r="D537" s="5"/>
      <c r="E537" s="5"/>
    </row>
    <row r="538" ht="15.75" customHeight="1">
      <c r="A538" s="5"/>
      <c r="B538" s="5"/>
      <c r="C538" s="5"/>
      <c r="D538" s="5"/>
      <c r="E538" s="5"/>
    </row>
    <row r="539" ht="15.75" customHeight="1">
      <c r="A539" s="5"/>
      <c r="B539" s="5"/>
      <c r="C539" s="5"/>
      <c r="D539" s="5"/>
      <c r="E539" s="5"/>
    </row>
    <row r="540" ht="15.75" customHeight="1">
      <c r="A540" s="5"/>
      <c r="B540" s="5"/>
      <c r="C540" s="5"/>
      <c r="D540" s="5"/>
      <c r="E540" s="5"/>
    </row>
    <row r="541" ht="15.75" customHeight="1">
      <c r="A541" s="5"/>
      <c r="B541" s="5"/>
      <c r="C541" s="5"/>
      <c r="D541" s="5"/>
      <c r="E541" s="5"/>
    </row>
    <row r="542" ht="15.75" customHeight="1">
      <c r="A542" s="5"/>
      <c r="B542" s="5"/>
      <c r="C542" s="5"/>
      <c r="D542" s="5"/>
      <c r="E542" s="5"/>
    </row>
    <row r="543" ht="15.75" customHeight="1">
      <c r="A543" s="5"/>
      <c r="B543" s="5"/>
      <c r="C543" s="5"/>
      <c r="D543" s="5"/>
      <c r="E543" s="5"/>
    </row>
    <row r="544" ht="15.75" customHeight="1">
      <c r="A544" s="5"/>
      <c r="B544" s="5"/>
      <c r="C544" s="5"/>
      <c r="D544" s="5"/>
      <c r="E544" s="5"/>
    </row>
    <row r="545" ht="15.75" customHeight="1">
      <c r="A545" s="5"/>
      <c r="B545" s="5"/>
      <c r="C545" s="5"/>
      <c r="D545" s="5"/>
      <c r="E545" s="5"/>
    </row>
    <row r="546" ht="15.75" customHeight="1">
      <c r="A546" s="5"/>
      <c r="B546" s="5"/>
      <c r="C546" s="5"/>
      <c r="D546" s="5"/>
      <c r="E546" s="5"/>
    </row>
    <row r="547" ht="15.75" customHeight="1">
      <c r="A547" s="5"/>
      <c r="B547" s="5"/>
      <c r="C547" s="5"/>
      <c r="D547" s="5"/>
      <c r="E547" s="5"/>
    </row>
    <row r="548" ht="15.75" customHeight="1">
      <c r="A548" s="5"/>
      <c r="B548" s="5"/>
      <c r="C548" s="5"/>
      <c r="D548" s="5"/>
      <c r="E548" s="5"/>
    </row>
    <row r="549" ht="15.75" customHeight="1">
      <c r="A549" s="5"/>
      <c r="B549" s="5"/>
      <c r="C549" s="5"/>
      <c r="D549" s="5"/>
      <c r="E549" s="5"/>
    </row>
    <row r="550" ht="15.75" customHeight="1">
      <c r="A550" s="5"/>
      <c r="B550" s="5"/>
      <c r="C550" s="5"/>
      <c r="D550" s="5"/>
      <c r="E550" s="5"/>
    </row>
    <row r="551" ht="15.75" customHeight="1">
      <c r="A551" s="5"/>
      <c r="B551" s="5"/>
      <c r="C551" s="5"/>
      <c r="D551" s="5"/>
      <c r="E551" s="5"/>
    </row>
    <row r="552" ht="15.75" customHeight="1">
      <c r="A552" s="5"/>
      <c r="B552" s="5"/>
      <c r="C552" s="5"/>
      <c r="D552" s="5"/>
      <c r="E552" s="5"/>
    </row>
    <row r="553" ht="15.75" customHeight="1">
      <c r="A553" s="5"/>
      <c r="B553" s="5"/>
      <c r="C553" s="5"/>
      <c r="D553" s="5"/>
      <c r="E553" s="5"/>
    </row>
    <row r="554" ht="15.75" customHeight="1">
      <c r="A554" s="5"/>
      <c r="B554" s="5"/>
      <c r="C554" s="5"/>
      <c r="D554" s="5"/>
      <c r="E554" s="5"/>
    </row>
    <row r="555" ht="15.75" customHeight="1">
      <c r="A555" s="5"/>
      <c r="B555" s="5"/>
      <c r="C555" s="5"/>
      <c r="D555" s="5"/>
      <c r="E555" s="5"/>
    </row>
    <row r="556" ht="15.75" customHeight="1">
      <c r="A556" s="5"/>
      <c r="B556" s="5"/>
      <c r="C556" s="5"/>
      <c r="D556" s="5"/>
      <c r="E556" s="5"/>
    </row>
    <row r="557" ht="15.75" customHeight="1">
      <c r="A557" s="5"/>
      <c r="B557" s="5"/>
      <c r="C557" s="5"/>
      <c r="D557" s="5"/>
      <c r="E557" s="5"/>
    </row>
    <row r="558" ht="15.75" customHeight="1">
      <c r="A558" s="5"/>
      <c r="B558" s="5"/>
      <c r="C558" s="5"/>
      <c r="D558" s="5"/>
      <c r="E558" s="5"/>
    </row>
    <row r="559" ht="15.75" customHeight="1">
      <c r="A559" s="5"/>
      <c r="B559" s="5"/>
      <c r="C559" s="5"/>
      <c r="D559" s="5"/>
      <c r="E559" s="5"/>
    </row>
    <row r="560" ht="15.75" customHeight="1">
      <c r="A560" s="5"/>
      <c r="B560" s="5"/>
      <c r="C560" s="5"/>
      <c r="D560" s="5"/>
      <c r="E560" s="5"/>
    </row>
    <row r="561" ht="15.75" customHeight="1">
      <c r="A561" s="5"/>
      <c r="B561" s="5"/>
      <c r="C561" s="5"/>
      <c r="D561" s="5"/>
      <c r="E561" s="5"/>
    </row>
    <row r="562" ht="15.75" customHeight="1">
      <c r="A562" s="5"/>
      <c r="B562" s="5"/>
      <c r="C562" s="5"/>
      <c r="D562" s="5"/>
      <c r="E562" s="5"/>
    </row>
    <row r="563" ht="15.75" customHeight="1">
      <c r="A563" s="5"/>
      <c r="B563" s="5"/>
      <c r="C563" s="5"/>
      <c r="D563" s="5"/>
      <c r="E563" s="5"/>
    </row>
    <row r="564" ht="15.75" customHeight="1">
      <c r="A564" s="5"/>
      <c r="B564" s="5"/>
      <c r="C564" s="5"/>
      <c r="D564" s="5"/>
      <c r="E564" s="5"/>
    </row>
    <row r="565" ht="15.75" customHeight="1">
      <c r="A565" s="5"/>
      <c r="B565" s="5"/>
      <c r="C565" s="5"/>
      <c r="D565" s="5"/>
      <c r="E565" s="5"/>
    </row>
    <row r="566" ht="15.75" customHeight="1">
      <c r="A566" s="5"/>
      <c r="B566" s="5"/>
      <c r="C566" s="5"/>
      <c r="D566" s="5"/>
      <c r="E566" s="5"/>
    </row>
    <row r="567" ht="15.75" customHeight="1">
      <c r="A567" s="5"/>
      <c r="B567" s="5"/>
      <c r="C567" s="5"/>
      <c r="D567" s="5"/>
      <c r="E567" s="5"/>
    </row>
    <row r="568" ht="15.75" customHeight="1">
      <c r="A568" s="5"/>
      <c r="B568" s="5"/>
      <c r="C568" s="5"/>
      <c r="D568" s="5"/>
      <c r="E568" s="5"/>
    </row>
    <row r="569" ht="15.75" customHeight="1">
      <c r="A569" s="5"/>
      <c r="B569" s="5"/>
      <c r="C569" s="5"/>
      <c r="D569" s="5"/>
      <c r="E569" s="5"/>
    </row>
    <row r="570" ht="15.75" customHeight="1">
      <c r="A570" s="5"/>
      <c r="B570" s="5"/>
      <c r="C570" s="5"/>
      <c r="D570" s="5"/>
      <c r="E570" s="5"/>
    </row>
    <row r="571" ht="15.75" customHeight="1">
      <c r="A571" s="5"/>
      <c r="B571" s="5"/>
      <c r="C571" s="5"/>
      <c r="D571" s="5"/>
      <c r="E571" s="5"/>
    </row>
    <row r="572" ht="15.75" customHeight="1">
      <c r="A572" s="5"/>
      <c r="B572" s="5"/>
      <c r="C572" s="5"/>
      <c r="D572" s="5"/>
      <c r="E572" s="5"/>
    </row>
    <row r="573" ht="15.75" customHeight="1">
      <c r="A573" s="5"/>
      <c r="B573" s="5"/>
      <c r="C573" s="5"/>
      <c r="D573" s="5"/>
      <c r="E573" s="5"/>
    </row>
    <row r="574" ht="15.75" customHeight="1">
      <c r="A574" s="5"/>
      <c r="B574" s="5"/>
      <c r="C574" s="5"/>
      <c r="D574" s="5"/>
      <c r="E574" s="5"/>
    </row>
    <row r="575" ht="15.75" customHeight="1">
      <c r="A575" s="5"/>
      <c r="B575" s="5"/>
      <c r="C575" s="5"/>
      <c r="D575" s="5"/>
      <c r="E575" s="5"/>
    </row>
    <row r="576" ht="15.75" customHeight="1">
      <c r="A576" s="5"/>
      <c r="B576" s="5"/>
      <c r="C576" s="5"/>
      <c r="D576" s="5"/>
      <c r="E576" s="5"/>
    </row>
    <row r="577" ht="15.75" customHeight="1">
      <c r="A577" s="5"/>
      <c r="B577" s="5"/>
      <c r="C577" s="5"/>
      <c r="D577" s="5"/>
      <c r="E577" s="5"/>
    </row>
    <row r="578" ht="15.75" customHeight="1">
      <c r="A578" s="5"/>
      <c r="B578" s="5"/>
      <c r="C578" s="5"/>
      <c r="D578" s="5"/>
      <c r="E578" s="5"/>
    </row>
    <row r="579" ht="15.75" customHeight="1">
      <c r="A579" s="5"/>
      <c r="B579" s="5"/>
      <c r="C579" s="5"/>
      <c r="D579" s="5"/>
      <c r="E579" s="5"/>
    </row>
    <row r="580" ht="15.75" customHeight="1">
      <c r="A580" s="5"/>
      <c r="B580" s="5"/>
      <c r="C580" s="5"/>
      <c r="D580" s="5"/>
      <c r="E580" s="5"/>
    </row>
    <row r="581" ht="15.75" customHeight="1">
      <c r="A581" s="5"/>
      <c r="B581" s="5"/>
      <c r="C581" s="5"/>
      <c r="D581" s="5"/>
      <c r="E581" s="5"/>
    </row>
    <row r="582" ht="15.75" customHeight="1">
      <c r="A582" s="5"/>
      <c r="B582" s="5"/>
      <c r="C582" s="5"/>
      <c r="D582" s="5"/>
      <c r="E582" s="5"/>
    </row>
    <row r="583" ht="15.75" customHeight="1">
      <c r="A583" s="5"/>
      <c r="B583" s="5"/>
      <c r="C583" s="5"/>
      <c r="D583" s="5"/>
      <c r="E583" s="5"/>
    </row>
    <row r="584" ht="15.75" customHeight="1">
      <c r="A584" s="5"/>
      <c r="B584" s="5"/>
      <c r="C584" s="5"/>
      <c r="D584" s="5"/>
      <c r="E584" s="5"/>
    </row>
    <row r="585" ht="15.75" customHeight="1">
      <c r="A585" s="5"/>
      <c r="B585" s="5"/>
      <c r="C585" s="5"/>
      <c r="D585" s="5"/>
      <c r="E585" s="5"/>
    </row>
    <row r="586" ht="15.75" customHeight="1">
      <c r="A586" s="5"/>
      <c r="B586" s="5"/>
      <c r="C586" s="5"/>
      <c r="D586" s="5"/>
      <c r="E586" s="5"/>
    </row>
    <row r="587" ht="15.75" customHeight="1">
      <c r="A587" s="5"/>
      <c r="B587" s="5"/>
      <c r="C587" s="5"/>
      <c r="D587" s="5"/>
      <c r="E587" s="5"/>
    </row>
    <row r="588" ht="15.75" customHeight="1">
      <c r="A588" s="5"/>
      <c r="B588" s="5"/>
      <c r="C588" s="5"/>
      <c r="D588" s="5"/>
      <c r="E588" s="5"/>
    </row>
    <row r="589" ht="15.75" customHeight="1">
      <c r="A589" s="5"/>
      <c r="B589" s="5"/>
      <c r="C589" s="5"/>
      <c r="D589" s="5"/>
      <c r="E589" s="5"/>
    </row>
    <row r="590" ht="15.75" customHeight="1">
      <c r="A590" s="5"/>
      <c r="B590" s="5"/>
      <c r="C590" s="5"/>
      <c r="D590" s="5"/>
      <c r="E590" s="5"/>
    </row>
    <row r="591" ht="15.75" customHeight="1">
      <c r="A591" s="5"/>
      <c r="B591" s="5"/>
      <c r="C591" s="5"/>
      <c r="D591" s="5"/>
      <c r="E591" s="5"/>
    </row>
    <row r="592" ht="15.75" customHeight="1">
      <c r="A592" s="5"/>
      <c r="B592" s="5"/>
      <c r="C592" s="5"/>
      <c r="D592" s="5"/>
      <c r="E592" s="5"/>
    </row>
    <row r="593" ht="15.75" customHeight="1">
      <c r="A593" s="5"/>
      <c r="B593" s="5"/>
      <c r="C593" s="5"/>
      <c r="D593" s="5"/>
      <c r="E593" s="5"/>
    </row>
    <row r="594" ht="15.75" customHeight="1">
      <c r="A594" s="5"/>
      <c r="B594" s="5"/>
      <c r="C594" s="5"/>
      <c r="D594" s="5"/>
      <c r="E594" s="5"/>
    </row>
    <row r="595" ht="15.75" customHeight="1">
      <c r="A595" s="5"/>
      <c r="B595" s="5"/>
      <c r="C595" s="5"/>
      <c r="D595" s="5"/>
      <c r="E595" s="5"/>
    </row>
    <row r="596" ht="15.75" customHeight="1">
      <c r="A596" s="5"/>
      <c r="B596" s="5"/>
      <c r="C596" s="5"/>
      <c r="D596" s="5"/>
      <c r="E596" s="5"/>
    </row>
    <row r="597" ht="15.75" customHeight="1">
      <c r="A597" s="5"/>
      <c r="B597" s="5"/>
      <c r="C597" s="5"/>
      <c r="D597" s="5"/>
      <c r="E597" s="5"/>
    </row>
    <row r="598" ht="15.75" customHeight="1">
      <c r="A598" s="5"/>
      <c r="B598" s="5"/>
      <c r="C598" s="5"/>
      <c r="D598" s="5"/>
      <c r="E598" s="5"/>
    </row>
    <row r="599" ht="15.75" customHeight="1">
      <c r="A599" s="5"/>
      <c r="B599" s="5"/>
      <c r="C599" s="5"/>
      <c r="D599" s="5"/>
      <c r="E599" s="5"/>
    </row>
    <row r="600" ht="15.75" customHeight="1">
      <c r="A600" s="5"/>
      <c r="B600" s="5"/>
      <c r="C600" s="5"/>
      <c r="D600" s="5"/>
      <c r="E600" s="5"/>
    </row>
    <row r="601" ht="15.75" customHeight="1">
      <c r="A601" s="5"/>
      <c r="B601" s="5"/>
      <c r="C601" s="5"/>
      <c r="D601" s="5"/>
      <c r="E601" s="5"/>
    </row>
    <row r="602" ht="15.75" customHeight="1">
      <c r="A602" s="5"/>
      <c r="B602" s="5"/>
      <c r="C602" s="5"/>
      <c r="D602" s="5"/>
      <c r="E602" s="5"/>
    </row>
    <row r="603" ht="15.75" customHeight="1">
      <c r="A603" s="5"/>
      <c r="B603" s="5"/>
      <c r="C603" s="5"/>
      <c r="D603" s="5"/>
      <c r="E603" s="5"/>
    </row>
    <row r="604" ht="15.75" customHeight="1">
      <c r="A604" s="5"/>
      <c r="B604" s="5"/>
      <c r="C604" s="5"/>
      <c r="D604" s="5"/>
      <c r="E604" s="5"/>
    </row>
    <row r="605" ht="15.75" customHeight="1">
      <c r="A605" s="5"/>
      <c r="B605" s="5"/>
      <c r="C605" s="5"/>
      <c r="D605" s="5"/>
      <c r="E605" s="5"/>
    </row>
    <row r="606" ht="15.75" customHeight="1">
      <c r="A606" s="5"/>
      <c r="B606" s="5"/>
      <c r="C606" s="5"/>
      <c r="D606" s="5"/>
      <c r="E606" s="5"/>
    </row>
    <row r="607" ht="15.75" customHeight="1">
      <c r="A607" s="5"/>
      <c r="B607" s="5"/>
      <c r="C607" s="5"/>
      <c r="D607" s="5"/>
      <c r="E607" s="5"/>
    </row>
    <row r="608" ht="15.75" customHeight="1">
      <c r="A608" s="5"/>
      <c r="B608" s="5"/>
      <c r="C608" s="5"/>
      <c r="D608" s="5"/>
      <c r="E608" s="5"/>
    </row>
    <row r="609" ht="15.75" customHeight="1">
      <c r="A609" s="5"/>
      <c r="B609" s="5"/>
      <c r="C609" s="5"/>
      <c r="D609" s="5"/>
      <c r="E609" s="5"/>
    </row>
    <row r="610" ht="15.75" customHeight="1">
      <c r="A610" s="5"/>
      <c r="B610" s="5"/>
      <c r="C610" s="5"/>
      <c r="D610" s="5"/>
      <c r="E610" s="5"/>
    </row>
    <row r="611" ht="15.75" customHeight="1">
      <c r="A611" s="5"/>
      <c r="B611" s="5"/>
      <c r="C611" s="5"/>
      <c r="D611" s="5"/>
      <c r="E611" s="5"/>
    </row>
    <row r="612" ht="15.75" customHeight="1">
      <c r="A612" s="5"/>
      <c r="B612" s="5"/>
      <c r="C612" s="5"/>
      <c r="D612" s="5"/>
      <c r="E612" s="5"/>
    </row>
    <row r="613" ht="15.75" customHeight="1">
      <c r="A613" s="5"/>
      <c r="B613" s="5"/>
      <c r="C613" s="5"/>
      <c r="D613" s="5"/>
      <c r="E613" s="5"/>
    </row>
    <row r="614" ht="15.75" customHeight="1">
      <c r="A614" s="5"/>
      <c r="B614" s="5"/>
      <c r="C614" s="5"/>
      <c r="D614" s="5"/>
      <c r="E614" s="5"/>
    </row>
    <row r="615" ht="15.75" customHeight="1">
      <c r="A615" s="5"/>
      <c r="B615" s="5"/>
      <c r="C615" s="5"/>
      <c r="D615" s="5"/>
      <c r="E615" s="5"/>
    </row>
    <row r="616" ht="15.75" customHeight="1">
      <c r="A616" s="5"/>
      <c r="B616" s="5"/>
      <c r="C616" s="5"/>
      <c r="D616" s="5"/>
      <c r="E616" s="5"/>
    </row>
    <row r="617" ht="15.75" customHeight="1">
      <c r="A617" s="5"/>
      <c r="B617" s="5"/>
      <c r="C617" s="5"/>
      <c r="D617" s="5"/>
      <c r="E617" s="5"/>
    </row>
    <row r="618" ht="15.75" customHeight="1">
      <c r="A618" s="5"/>
      <c r="B618" s="5"/>
      <c r="C618" s="5"/>
      <c r="D618" s="5"/>
      <c r="E618" s="5"/>
    </row>
    <row r="619" ht="15.75" customHeight="1">
      <c r="A619" s="5"/>
      <c r="B619" s="5"/>
      <c r="C619" s="5"/>
      <c r="D619" s="5"/>
      <c r="E619" s="5"/>
    </row>
    <row r="620" ht="15.75" customHeight="1">
      <c r="A620" s="5"/>
      <c r="B620" s="5"/>
      <c r="C620" s="5"/>
      <c r="D620" s="5"/>
      <c r="E620" s="5"/>
    </row>
    <row r="621" ht="15.75" customHeight="1">
      <c r="A621" s="5"/>
      <c r="B621" s="5"/>
      <c r="C621" s="5"/>
      <c r="D621" s="5"/>
      <c r="E621" s="5"/>
    </row>
    <row r="622" ht="15.75" customHeight="1">
      <c r="A622" s="5"/>
      <c r="B622" s="5"/>
      <c r="C622" s="5"/>
      <c r="D622" s="5"/>
      <c r="E622" s="5"/>
    </row>
    <row r="623" ht="15.75" customHeight="1">
      <c r="A623" s="5"/>
      <c r="B623" s="5"/>
      <c r="C623" s="5"/>
      <c r="D623" s="5"/>
      <c r="E623" s="5"/>
    </row>
    <row r="624" ht="15.75" customHeight="1">
      <c r="A624" s="5"/>
      <c r="B624" s="5"/>
      <c r="C624" s="5"/>
      <c r="D624" s="5"/>
      <c r="E624" s="5"/>
    </row>
    <row r="625" ht="15.75" customHeight="1">
      <c r="A625" s="5"/>
      <c r="B625" s="5"/>
      <c r="C625" s="5"/>
      <c r="D625" s="5"/>
      <c r="E625" s="5"/>
    </row>
    <row r="626" ht="15.75" customHeight="1">
      <c r="A626" s="5"/>
      <c r="B626" s="5"/>
      <c r="C626" s="5"/>
      <c r="D626" s="5"/>
      <c r="E626" s="5"/>
    </row>
    <row r="627" ht="15.75" customHeight="1">
      <c r="A627" s="5"/>
      <c r="B627" s="5"/>
      <c r="C627" s="5"/>
      <c r="D627" s="5"/>
      <c r="E627" s="5"/>
    </row>
    <row r="628" ht="15.75" customHeight="1">
      <c r="A628" s="5"/>
      <c r="B628" s="5"/>
      <c r="C628" s="5"/>
      <c r="D628" s="5"/>
      <c r="E628" s="5"/>
    </row>
    <row r="629" ht="15.75" customHeight="1">
      <c r="A629" s="5"/>
      <c r="B629" s="5"/>
      <c r="C629" s="5"/>
      <c r="D629" s="5"/>
      <c r="E629" s="5"/>
    </row>
    <row r="630" ht="15.75" customHeight="1">
      <c r="A630" s="5"/>
      <c r="B630" s="5"/>
      <c r="C630" s="5"/>
      <c r="D630" s="5"/>
      <c r="E630" s="5"/>
    </row>
    <row r="631" ht="15.75" customHeight="1">
      <c r="A631" s="5"/>
      <c r="B631" s="5"/>
      <c r="C631" s="5"/>
      <c r="D631" s="5"/>
      <c r="E631" s="5"/>
    </row>
    <row r="632" ht="15.75" customHeight="1">
      <c r="A632" s="5"/>
      <c r="B632" s="5"/>
      <c r="C632" s="5"/>
      <c r="D632" s="5"/>
      <c r="E632" s="5"/>
    </row>
    <row r="633" ht="15.75" customHeight="1">
      <c r="A633" s="5"/>
      <c r="B633" s="5"/>
      <c r="C633" s="5"/>
      <c r="D633" s="5"/>
      <c r="E633" s="5"/>
    </row>
    <row r="634" ht="15.75" customHeight="1">
      <c r="A634" s="5"/>
      <c r="B634" s="5"/>
      <c r="C634" s="5"/>
      <c r="D634" s="5"/>
      <c r="E634" s="5"/>
    </row>
    <row r="635" ht="15.75" customHeight="1">
      <c r="A635" s="5"/>
      <c r="B635" s="5"/>
      <c r="C635" s="5"/>
      <c r="D635" s="5"/>
      <c r="E635" s="5"/>
    </row>
    <row r="636" ht="15.75" customHeight="1">
      <c r="A636" s="5"/>
      <c r="B636" s="5"/>
      <c r="C636" s="5"/>
      <c r="D636" s="5"/>
      <c r="E636" s="5"/>
    </row>
    <row r="637" ht="15.75" customHeight="1">
      <c r="A637" s="5"/>
      <c r="B637" s="5"/>
      <c r="C637" s="5"/>
      <c r="D637" s="5"/>
      <c r="E637" s="5"/>
    </row>
    <row r="638" ht="15.75" customHeight="1">
      <c r="A638" s="5"/>
      <c r="B638" s="5"/>
      <c r="C638" s="5"/>
      <c r="D638" s="5"/>
      <c r="E638" s="5"/>
    </row>
    <row r="639" ht="15.75" customHeight="1">
      <c r="A639" s="5"/>
      <c r="B639" s="5"/>
      <c r="C639" s="5"/>
      <c r="D639" s="5"/>
      <c r="E639" s="5"/>
    </row>
    <row r="640" ht="15.75" customHeight="1">
      <c r="A640" s="5"/>
      <c r="B640" s="5"/>
      <c r="C640" s="5"/>
      <c r="D640" s="5"/>
      <c r="E640" s="5"/>
    </row>
    <row r="641" ht="15.75" customHeight="1">
      <c r="A641" s="5"/>
      <c r="B641" s="5"/>
      <c r="C641" s="5"/>
      <c r="D641" s="5"/>
      <c r="E641" s="5"/>
    </row>
    <row r="642" ht="15.75" customHeight="1">
      <c r="A642" s="5"/>
      <c r="B642" s="5"/>
      <c r="C642" s="5"/>
      <c r="D642" s="5"/>
      <c r="E642" s="5"/>
    </row>
    <row r="643" ht="15.75" customHeight="1">
      <c r="A643" s="5"/>
      <c r="B643" s="5"/>
      <c r="C643" s="5"/>
      <c r="D643" s="5"/>
      <c r="E643" s="5"/>
    </row>
    <row r="644" ht="15.75" customHeight="1">
      <c r="A644" s="5"/>
      <c r="B644" s="5"/>
      <c r="C644" s="5"/>
      <c r="D644" s="5"/>
      <c r="E644" s="5"/>
    </row>
    <row r="645" ht="15.75" customHeight="1">
      <c r="A645" s="5"/>
      <c r="B645" s="5"/>
      <c r="C645" s="5"/>
      <c r="D645" s="5"/>
      <c r="E645" s="5"/>
    </row>
    <row r="646" ht="15.75" customHeight="1">
      <c r="A646" s="5"/>
      <c r="B646" s="5"/>
      <c r="C646" s="5"/>
      <c r="D646" s="5"/>
      <c r="E646" s="5"/>
    </row>
    <row r="647" ht="15.75" customHeight="1">
      <c r="A647" s="5"/>
      <c r="B647" s="5"/>
      <c r="C647" s="5"/>
      <c r="D647" s="5"/>
      <c r="E647" s="5"/>
    </row>
    <row r="648" ht="15.75" customHeight="1">
      <c r="A648" s="5"/>
      <c r="B648" s="5"/>
      <c r="C648" s="5"/>
      <c r="D648" s="5"/>
      <c r="E648" s="5"/>
    </row>
    <row r="649" ht="15.75" customHeight="1">
      <c r="A649" s="5"/>
      <c r="B649" s="5"/>
      <c r="C649" s="5"/>
      <c r="D649" s="5"/>
      <c r="E649" s="5"/>
    </row>
    <row r="650" ht="15.75" customHeight="1">
      <c r="A650" s="5"/>
      <c r="B650" s="5"/>
      <c r="C650" s="5"/>
      <c r="D650" s="5"/>
      <c r="E650" s="5"/>
    </row>
    <row r="651" ht="15.75" customHeight="1">
      <c r="A651" s="5"/>
      <c r="B651" s="5"/>
      <c r="C651" s="5"/>
      <c r="D651" s="5"/>
      <c r="E651" s="5"/>
    </row>
    <row r="652" ht="15.75" customHeight="1">
      <c r="A652" s="5"/>
      <c r="B652" s="5"/>
      <c r="C652" s="5"/>
      <c r="D652" s="5"/>
      <c r="E652" s="5"/>
    </row>
    <row r="653" ht="15.75" customHeight="1">
      <c r="A653" s="5"/>
      <c r="B653" s="5"/>
      <c r="C653" s="5"/>
      <c r="D653" s="5"/>
      <c r="E653" s="5"/>
    </row>
    <row r="654" ht="15.75" customHeight="1">
      <c r="A654" s="5"/>
      <c r="B654" s="5"/>
      <c r="C654" s="5"/>
      <c r="D654" s="5"/>
      <c r="E654" s="5"/>
    </row>
    <row r="655" ht="15.75" customHeight="1">
      <c r="A655" s="5"/>
      <c r="B655" s="5"/>
      <c r="C655" s="5"/>
      <c r="D655" s="5"/>
      <c r="E655" s="5"/>
    </row>
    <row r="656" ht="15.75" customHeight="1">
      <c r="A656" s="5"/>
      <c r="B656" s="5"/>
      <c r="C656" s="5"/>
      <c r="D656" s="5"/>
      <c r="E656" s="5"/>
    </row>
    <row r="657" ht="15.75" customHeight="1">
      <c r="A657" s="5"/>
      <c r="B657" s="5"/>
      <c r="C657" s="5"/>
      <c r="D657" s="5"/>
      <c r="E657" s="5"/>
    </row>
    <row r="658" ht="15.75" customHeight="1">
      <c r="A658" s="5"/>
      <c r="B658" s="5"/>
      <c r="C658" s="5"/>
      <c r="D658" s="5"/>
      <c r="E658" s="5"/>
    </row>
    <row r="659" ht="15.75" customHeight="1">
      <c r="A659" s="5"/>
      <c r="B659" s="5"/>
      <c r="C659" s="5"/>
      <c r="D659" s="5"/>
      <c r="E659" s="5"/>
    </row>
    <row r="660" ht="15.75" customHeight="1">
      <c r="A660" s="5"/>
      <c r="B660" s="5"/>
      <c r="C660" s="5"/>
      <c r="D660" s="5"/>
      <c r="E660" s="5"/>
    </row>
    <row r="661" ht="15.75" customHeight="1">
      <c r="A661" s="5"/>
      <c r="B661" s="5"/>
      <c r="C661" s="5"/>
      <c r="D661" s="5"/>
      <c r="E661" s="5"/>
    </row>
    <row r="662" ht="15.75" customHeight="1">
      <c r="A662" s="5"/>
      <c r="B662" s="5"/>
      <c r="C662" s="5"/>
      <c r="D662" s="5"/>
      <c r="E662" s="5"/>
    </row>
    <row r="663" ht="15.75" customHeight="1">
      <c r="A663" s="5"/>
      <c r="B663" s="5"/>
      <c r="C663" s="5"/>
      <c r="D663" s="5"/>
      <c r="E663" s="5"/>
    </row>
    <row r="664" ht="15.75" customHeight="1">
      <c r="A664" s="5"/>
      <c r="B664" s="5"/>
      <c r="C664" s="5"/>
      <c r="D664" s="5"/>
      <c r="E664" s="5"/>
    </row>
    <row r="665" ht="15.75" customHeight="1">
      <c r="A665" s="5"/>
      <c r="B665" s="5"/>
      <c r="C665" s="5"/>
      <c r="D665" s="5"/>
      <c r="E665" s="5"/>
    </row>
    <row r="666" ht="15.75" customHeight="1">
      <c r="A666" s="5"/>
      <c r="B666" s="5"/>
      <c r="C666" s="5"/>
      <c r="D666" s="5"/>
      <c r="E666" s="5"/>
    </row>
    <row r="667" ht="15.75" customHeight="1">
      <c r="A667" s="5"/>
      <c r="B667" s="5"/>
      <c r="C667" s="5"/>
      <c r="D667" s="5"/>
      <c r="E667" s="5"/>
    </row>
    <row r="668" ht="15.75" customHeight="1">
      <c r="A668" s="5"/>
      <c r="B668" s="5"/>
      <c r="C668" s="5"/>
      <c r="D668" s="5"/>
      <c r="E668" s="5"/>
    </row>
    <row r="669" ht="15.75" customHeight="1">
      <c r="A669" s="5"/>
      <c r="B669" s="5"/>
      <c r="C669" s="5"/>
      <c r="D669" s="5"/>
      <c r="E669" s="5"/>
    </row>
    <row r="670" ht="15.75" customHeight="1">
      <c r="A670" s="5"/>
      <c r="B670" s="5"/>
      <c r="C670" s="5"/>
      <c r="D670" s="5"/>
      <c r="E670" s="5"/>
    </row>
    <row r="671" ht="15.75" customHeight="1">
      <c r="A671" s="5"/>
      <c r="B671" s="5"/>
      <c r="C671" s="5"/>
      <c r="D671" s="5"/>
      <c r="E671" s="5"/>
    </row>
    <row r="672" ht="15.75" customHeight="1">
      <c r="A672" s="5"/>
      <c r="B672" s="5"/>
      <c r="C672" s="5"/>
      <c r="D672" s="5"/>
      <c r="E672" s="5"/>
    </row>
    <row r="673" ht="15.75" customHeight="1">
      <c r="A673" s="5"/>
      <c r="B673" s="5"/>
      <c r="C673" s="5"/>
      <c r="D673" s="5"/>
      <c r="E673" s="5"/>
    </row>
    <row r="674" ht="15.75" customHeight="1">
      <c r="A674" s="5"/>
      <c r="B674" s="5"/>
      <c r="C674" s="5"/>
      <c r="D674" s="5"/>
      <c r="E674" s="5"/>
    </row>
    <row r="675" ht="15.75" customHeight="1">
      <c r="A675" s="5"/>
      <c r="B675" s="5"/>
      <c r="C675" s="5"/>
      <c r="D675" s="5"/>
      <c r="E675" s="5"/>
    </row>
    <row r="676" ht="15.75" customHeight="1">
      <c r="A676" s="5"/>
      <c r="B676" s="5"/>
      <c r="C676" s="5"/>
      <c r="D676" s="5"/>
      <c r="E676" s="5"/>
    </row>
    <row r="677" ht="15.75" customHeight="1">
      <c r="A677" s="5"/>
      <c r="B677" s="5"/>
      <c r="C677" s="5"/>
      <c r="D677" s="5"/>
      <c r="E677" s="5"/>
    </row>
    <row r="678" ht="15.75" customHeight="1">
      <c r="A678" s="5"/>
      <c r="B678" s="5"/>
      <c r="C678" s="5"/>
      <c r="D678" s="5"/>
      <c r="E678" s="5"/>
    </row>
    <row r="679" ht="15.75" customHeight="1">
      <c r="A679" s="5"/>
      <c r="B679" s="5"/>
      <c r="C679" s="5"/>
      <c r="D679" s="5"/>
      <c r="E679" s="5"/>
    </row>
    <row r="680" ht="15.75" customHeight="1">
      <c r="A680" s="5"/>
      <c r="B680" s="5"/>
      <c r="C680" s="5"/>
      <c r="D680" s="5"/>
      <c r="E680" s="5"/>
    </row>
    <row r="681" ht="15.75" customHeight="1">
      <c r="A681" s="5"/>
      <c r="B681" s="5"/>
      <c r="C681" s="5"/>
      <c r="D681" s="5"/>
      <c r="E681" s="5"/>
    </row>
    <row r="682" ht="15.75" customHeight="1">
      <c r="A682" s="5"/>
      <c r="B682" s="5"/>
      <c r="C682" s="5"/>
      <c r="D682" s="5"/>
      <c r="E682" s="5"/>
    </row>
    <row r="683" ht="15.75" customHeight="1">
      <c r="A683" s="5"/>
      <c r="B683" s="5"/>
      <c r="C683" s="5"/>
      <c r="D683" s="5"/>
      <c r="E683" s="5"/>
    </row>
    <row r="684" ht="15.75" customHeight="1">
      <c r="A684" s="5"/>
      <c r="B684" s="5"/>
      <c r="C684" s="5"/>
      <c r="D684" s="5"/>
      <c r="E684" s="5"/>
    </row>
    <row r="685" ht="15.75" customHeight="1">
      <c r="A685" s="5"/>
      <c r="B685" s="5"/>
      <c r="C685" s="5"/>
      <c r="D685" s="5"/>
      <c r="E685" s="5"/>
    </row>
    <row r="686" ht="15.75" customHeight="1">
      <c r="A686" s="5"/>
      <c r="B686" s="5"/>
      <c r="C686" s="5"/>
      <c r="D686" s="5"/>
      <c r="E686" s="5"/>
    </row>
    <row r="687" ht="15.75" customHeight="1">
      <c r="A687" s="5"/>
      <c r="B687" s="5"/>
      <c r="C687" s="5"/>
      <c r="D687" s="5"/>
      <c r="E687" s="5"/>
    </row>
    <row r="688" ht="15.75" customHeight="1">
      <c r="A688" s="5"/>
      <c r="B688" s="5"/>
      <c r="C688" s="5"/>
      <c r="D688" s="5"/>
      <c r="E688" s="5"/>
    </row>
    <row r="689" ht="15.75" customHeight="1">
      <c r="A689" s="5"/>
      <c r="B689" s="5"/>
      <c r="C689" s="5"/>
      <c r="D689" s="5"/>
      <c r="E689" s="5"/>
    </row>
    <row r="690" ht="15.75" customHeight="1">
      <c r="A690" s="5"/>
      <c r="B690" s="5"/>
      <c r="C690" s="5"/>
      <c r="D690" s="5"/>
      <c r="E690" s="5"/>
    </row>
    <row r="691" ht="15.75" customHeight="1">
      <c r="A691" s="5"/>
      <c r="B691" s="5"/>
      <c r="C691" s="5"/>
      <c r="D691" s="5"/>
      <c r="E691" s="5"/>
    </row>
    <row r="692" ht="15.75" customHeight="1">
      <c r="A692" s="5"/>
      <c r="B692" s="5"/>
      <c r="C692" s="5"/>
      <c r="D692" s="5"/>
      <c r="E692" s="5"/>
    </row>
    <row r="693" ht="15.75" customHeight="1">
      <c r="A693" s="5"/>
      <c r="B693" s="5"/>
      <c r="C693" s="5"/>
      <c r="D693" s="5"/>
      <c r="E693" s="5"/>
    </row>
    <row r="694" ht="15.75" customHeight="1">
      <c r="A694" s="5"/>
      <c r="B694" s="5"/>
      <c r="C694" s="5"/>
      <c r="D694" s="5"/>
      <c r="E694" s="5"/>
    </row>
    <row r="695" ht="15.75" customHeight="1">
      <c r="A695" s="5"/>
      <c r="B695" s="5"/>
      <c r="C695" s="5"/>
      <c r="D695" s="5"/>
      <c r="E695" s="5"/>
    </row>
    <row r="696" ht="15.75" customHeight="1">
      <c r="A696" s="5"/>
      <c r="B696" s="5"/>
      <c r="C696" s="5"/>
      <c r="D696" s="5"/>
      <c r="E696" s="5"/>
    </row>
    <row r="697" ht="15.75" customHeight="1">
      <c r="A697" s="5"/>
      <c r="B697" s="5"/>
      <c r="C697" s="5"/>
      <c r="D697" s="5"/>
      <c r="E697" s="5"/>
    </row>
    <row r="698" ht="15.75" customHeight="1">
      <c r="A698" s="5"/>
      <c r="B698" s="5"/>
      <c r="C698" s="5"/>
      <c r="D698" s="5"/>
      <c r="E698" s="5"/>
    </row>
    <row r="699" ht="15.75" customHeight="1">
      <c r="A699" s="5"/>
      <c r="B699" s="5"/>
      <c r="C699" s="5"/>
      <c r="D699" s="5"/>
      <c r="E699" s="5"/>
    </row>
    <row r="700" ht="15.75" customHeight="1">
      <c r="A700" s="5"/>
      <c r="B700" s="5"/>
      <c r="C700" s="5"/>
      <c r="D700" s="5"/>
      <c r="E700" s="5"/>
    </row>
    <row r="701" ht="15.75" customHeight="1">
      <c r="A701" s="5"/>
      <c r="B701" s="5"/>
      <c r="C701" s="5"/>
      <c r="D701" s="5"/>
      <c r="E701" s="5"/>
    </row>
    <row r="702" ht="15.75" customHeight="1">
      <c r="A702" s="5"/>
      <c r="B702" s="5"/>
      <c r="C702" s="5"/>
      <c r="D702" s="5"/>
      <c r="E702" s="5"/>
    </row>
    <row r="703" ht="15.75" customHeight="1">
      <c r="A703" s="5"/>
      <c r="B703" s="5"/>
      <c r="C703" s="5"/>
      <c r="D703" s="5"/>
      <c r="E703" s="5"/>
    </row>
    <row r="704" ht="15.75" customHeight="1">
      <c r="A704" s="5"/>
      <c r="B704" s="5"/>
      <c r="C704" s="5"/>
      <c r="D704" s="5"/>
      <c r="E704" s="5"/>
    </row>
    <row r="705" ht="15.75" customHeight="1">
      <c r="A705" s="5"/>
      <c r="B705" s="5"/>
      <c r="C705" s="5"/>
      <c r="D705" s="5"/>
      <c r="E705" s="5"/>
    </row>
    <row r="706" ht="15.75" customHeight="1">
      <c r="A706" s="5"/>
      <c r="B706" s="5"/>
      <c r="C706" s="5"/>
      <c r="D706" s="5"/>
      <c r="E706" s="5"/>
    </row>
    <row r="707" ht="15.75" customHeight="1">
      <c r="A707" s="5"/>
      <c r="B707" s="5"/>
      <c r="C707" s="5"/>
      <c r="D707" s="5"/>
      <c r="E707" s="5"/>
    </row>
    <row r="708" ht="15.75" customHeight="1">
      <c r="A708" s="5"/>
      <c r="B708" s="5"/>
      <c r="C708" s="5"/>
      <c r="D708" s="5"/>
      <c r="E708" s="5"/>
    </row>
    <row r="709" ht="15.75" customHeight="1">
      <c r="A709" s="5"/>
      <c r="B709" s="5"/>
      <c r="C709" s="5"/>
      <c r="D709" s="5"/>
      <c r="E709" s="5"/>
    </row>
    <row r="710" ht="15.75" customHeight="1">
      <c r="A710" s="5"/>
      <c r="B710" s="5"/>
      <c r="C710" s="5"/>
      <c r="D710" s="5"/>
      <c r="E710" s="5"/>
    </row>
    <row r="711" ht="15.75" customHeight="1">
      <c r="A711" s="5"/>
      <c r="B711" s="5"/>
      <c r="C711" s="5"/>
      <c r="D711" s="5"/>
      <c r="E711" s="5"/>
    </row>
    <row r="712" ht="15.75" customHeight="1">
      <c r="A712" s="5"/>
      <c r="B712" s="5"/>
      <c r="C712" s="5"/>
      <c r="D712" s="5"/>
      <c r="E712" s="5"/>
    </row>
    <row r="713" ht="15.75" customHeight="1">
      <c r="A713" s="5"/>
      <c r="B713" s="5"/>
      <c r="C713" s="5"/>
      <c r="D713" s="5"/>
      <c r="E713" s="5"/>
    </row>
    <row r="714" ht="15.75" customHeight="1">
      <c r="A714" s="5"/>
      <c r="B714" s="5"/>
      <c r="C714" s="5"/>
      <c r="D714" s="5"/>
      <c r="E714" s="5"/>
    </row>
    <row r="715" ht="15.75" customHeight="1">
      <c r="A715" s="5"/>
      <c r="B715" s="5"/>
      <c r="C715" s="5"/>
      <c r="D715" s="5"/>
      <c r="E715" s="5"/>
    </row>
    <row r="716" ht="15.75" customHeight="1">
      <c r="A716" s="5"/>
      <c r="B716" s="5"/>
      <c r="C716" s="5"/>
      <c r="D716" s="5"/>
      <c r="E716" s="5"/>
    </row>
    <row r="717" ht="15.75" customHeight="1">
      <c r="A717" s="5"/>
      <c r="B717" s="5"/>
      <c r="C717" s="5"/>
      <c r="D717" s="5"/>
      <c r="E717" s="5"/>
    </row>
    <row r="718" ht="15.75" customHeight="1">
      <c r="A718" s="5"/>
      <c r="B718" s="5"/>
      <c r="C718" s="5"/>
      <c r="D718" s="5"/>
      <c r="E718" s="5"/>
    </row>
    <row r="719" ht="15.75" customHeight="1">
      <c r="A719" s="5"/>
      <c r="B719" s="5"/>
      <c r="C719" s="5"/>
      <c r="D719" s="5"/>
      <c r="E719" s="5"/>
    </row>
    <row r="720" ht="15.75" customHeight="1">
      <c r="A720" s="5"/>
      <c r="B720" s="5"/>
      <c r="C720" s="5"/>
      <c r="D720" s="5"/>
      <c r="E720" s="5"/>
    </row>
    <row r="721" ht="15.75" customHeight="1">
      <c r="A721" s="5"/>
      <c r="B721" s="5"/>
      <c r="C721" s="5"/>
      <c r="D721" s="5"/>
      <c r="E721" s="5"/>
    </row>
    <row r="722" ht="15.75" customHeight="1">
      <c r="A722" s="5"/>
      <c r="B722" s="5"/>
      <c r="C722" s="5"/>
      <c r="D722" s="5"/>
      <c r="E722" s="5"/>
    </row>
    <row r="723" ht="15.75" customHeight="1">
      <c r="A723" s="5"/>
      <c r="B723" s="5"/>
      <c r="C723" s="5"/>
      <c r="D723" s="5"/>
      <c r="E723" s="5"/>
    </row>
    <row r="724" ht="15.75" customHeight="1">
      <c r="A724" s="5"/>
      <c r="B724" s="5"/>
      <c r="C724" s="5"/>
      <c r="D724" s="5"/>
      <c r="E724" s="5"/>
    </row>
    <row r="725" ht="15.75" customHeight="1">
      <c r="A725" s="5"/>
      <c r="B725" s="5"/>
      <c r="C725" s="5"/>
      <c r="D725" s="5"/>
      <c r="E725" s="5"/>
    </row>
    <row r="726" ht="15.75" customHeight="1">
      <c r="A726" s="5"/>
      <c r="B726" s="5"/>
      <c r="C726" s="5"/>
      <c r="D726" s="5"/>
      <c r="E726" s="5"/>
    </row>
    <row r="727" ht="15.75" customHeight="1">
      <c r="A727" s="5"/>
      <c r="B727" s="5"/>
      <c r="C727" s="5"/>
      <c r="D727" s="5"/>
      <c r="E727" s="5"/>
    </row>
    <row r="728" ht="15.75" customHeight="1">
      <c r="A728" s="5"/>
      <c r="B728" s="5"/>
      <c r="C728" s="5"/>
      <c r="D728" s="5"/>
      <c r="E728" s="5"/>
    </row>
    <row r="729" ht="15.75" customHeight="1">
      <c r="A729" s="5"/>
      <c r="B729" s="5"/>
      <c r="C729" s="5"/>
      <c r="D729" s="5"/>
      <c r="E729" s="5"/>
    </row>
    <row r="730" ht="15.75" customHeight="1">
      <c r="A730" s="5"/>
      <c r="B730" s="5"/>
      <c r="C730" s="5"/>
      <c r="D730" s="5"/>
      <c r="E730" s="5"/>
    </row>
    <row r="731" ht="15.75" customHeight="1">
      <c r="A731" s="5"/>
      <c r="B731" s="5"/>
      <c r="C731" s="5"/>
      <c r="D731" s="5"/>
      <c r="E731" s="5"/>
    </row>
    <row r="732" ht="15.75" customHeight="1">
      <c r="A732" s="5"/>
      <c r="B732" s="5"/>
      <c r="C732" s="5"/>
      <c r="D732" s="5"/>
      <c r="E732" s="5"/>
    </row>
    <row r="733" ht="15.75" customHeight="1">
      <c r="A733" s="5"/>
      <c r="B733" s="5"/>
      <c r="C733" s="5"/>
      <c r="D733" s="5"/>
      <c r="E733" s="5"/>
    </row>
    <row r="734" ht="15.75" customHeight="1">
      <c r="A734" s="5"/>
      <c r="B734" s="5"/>
      <c r="C734" s="5"/>
      <c r="D734" s="5"/>
      <c r="E734" s="5"/>
    </row>
    <row r="735" ht="15.75" customHeight="1">
      <c r="A735" s="5"/>
      <c r="B735" s="5"/>
      <c r="C735" s="5"/>
      <c r="D735" s="5"/>
      <c r="E735" s="5"/>
    </row>
    <row r="736" ht="15.75" customHeight="1">
      <c r="A736" s="5"/>
      <c r="B736" s="5"/>
      <c r="C736" s="5"/>
      <c r="D736" s="5"/>
      <c r="E736" s="5"/>
    </row>
    <row r="737" ht="15.75" customHeight="1">
      <c r="A737" s="5"/>
      <c r="B737" s="5"/>
      <c r="C737" s="5"/>
      <c r="D737" s="5"/>
      <c r="E737" s="5"/>
    </row>
    <row r="738" ht="15.75" customHeight="1">
      <c r="A738" s="5"/>
      <c r="B738" s="5"/>
      <c r="C738" s="5"/>
      <c r="D738" s="5"/>
      <c r="E738" s="5"/>
    </row>
    <row r="739" ht="15.75" customHeight="1">
      <c r="A739" s="5"/>
      <c r="B739" s="5"/>
      <c r="C739" s="5"/>
      <c r="D739" s="5"/>
      <c r="E739" s="5"/>
    </row>
    <row r="740" ht="15.75" customHeight="1">
      <c r="A740" s="5"/>
      <c r="B740" s="5"/>
      <c r="C740" s="5"/>
      <c r="D740" s="5"/>
      <c r="E740" s="5"/>
    </row>
    <row r="741" ht="15.75" customHeight="1">
      <c r="A741" s="5"/>
      <c r="B741" s="5"/>
      <c r="C741" s="5"/>
      <c r="D741" s="5"/>
      <c r="E741" s="5"/>
    </row>
    <row r="742" ht="15.75" customHeight="1">
      <c r="A742" s="5"/>
      <c r="B742" s="5"/>
      <c r="C742" s="5"/>
      <c r="D742" s="5"/>
      <c r="E742" s="5"/>
    </row>
    <row r="743" ht="15.75" customHeight="1">
      <c r="A743" s="5"/>
      <c r="B743" s="5"/>
      <c r="C743" s="5"/>
      <c r="D743" s="5"/>
      <c r="E743" s="5"/>
    </row>
    <row r="744" ht="15.75" customHeight="1">
      <c r="A744" s="5"/>
      <c r="B744" s="5"/>
      <c r="C744" s="5"/>
      <c r="D744" s="5"/>
      <c r="E744" s="5"/>
    </row>
    <row r="745" ht="15.75" customHeight="1">
      <c r="A745" s="5"/>
      <c r="B745" s="5"/>
      <c r="C745" s="5"/>
      <c r="D745" s="5"/>
      <c r="E745" s="5"/>
    </row>
    <row r="746" ht="15.75" customHeight="1">
      <c r="A746" s="5"/>
      <c r="B746" s="5"/>
      <c r="C746" s="5"/>
      <c r="D746" s="5"/>
      <c r="E746" s="5"/>
    </row>
    <row r="747" ht="15.75" customHeight="1">
      <c r="A747" s="5"/>
      <c r="B747" s="5"/>
      <c r="C747" s="5"/>
      <c r="D747" s="5"/>
      <c r="E747" s="5"/>
    </row>
    <row r="748" ht="15.75" customHeight="1">
      <c r="A748" s="5"/>
      <c r="B748" s="5"/>
      <c r="C748" s="5"/>
      <c r="D748" s="5"/>
      <c r="E748" s="5"/>
    </row>
    <row r="749" ht="15.75" customHeight="1">
      <c r="A749" s="5"/>
      <c r="B749" s="5"/>
      <c r="C749" s="5"/>
      <c r="D749" s="5"/>
      <c r="E749" s="5"/>
    </row>
    <row r="750" ht="15.75" customHeight="1">
      <c r="A750" s="5"/>
      <c r="B750" s="5"/>
      <c r="C750" s="5"/>
      <c r="D750" s="5"/>
      <c r="E750" s="5"/>
    </row>
    <row r="751" ht="15.75" customHeight="1">
      <c r="A751" s="5"/>
      <c r="B751" s="5"/>
      <c r="C751" s="5"/>
      <c r="D751" s="5"/>
      <c r="E751" s="5"/>
    </row>
    <row r="752" ht="15.75" customHeight="1">
      <c r="A752" s="5"/>
      <c r="B752" s="5"/>
      <c r="C752" s="5"/>
      <c r="D752" s="5"/>
      <c r="E752" s="5"/>
    </row>
    <row r="753" ht="15.75" customHeight="1">
      <c r="A753" s="5"/>
      <c r="B753" s="5"/>
      <c r="C753" s="5"/>
      <c r="D753" s="5"/>
      <c r="E753" s="5"/>
    </row>
    <row r="754" ht="15.75" customHeight="1">
      <c r="A754" s="5"/>
      <c r="B754" s="5"/>
      <c r="C754" s="5"/>
      <c r="D754" s="5"/>
      <c r="E754" s="5"/>
    </row>
    <row r="755" ht="15.75" customHeight="1">
      <c r="A755" s="5"/>
      <c r="B755" s="5"/>
      <c r="C755" s="5"/>
      <c r="D755" s="5"/>
      <c r="E755" s="5"/>
    </row>
    <row r="756" ht="15.75" customHeight="1">
      <c r="A756" s="5"/>
      <c r="B756" s="5"/>
      <c r="C756" s="5"/>
      <c r="D756" s="5"/>
      <c r="E756" s="5"/>
    </row>
    <row r="757" ht="15.75" customHeight="1">
      <c r="A757" s="5"/>
      <c r="B757" s="5"/>
      <c r="C757" s="5"/>
      <c r="D757" s="5"/>
      <c r="E757" s="5"/>
    </row>
    <row r="758" ht="15.75" customHeight="1">
      <c r="A758" s="5"/>
      <c r="B758" s="5"/>
      <c r="C758" s="5"/>
      <c r="D758" s="5"/>
      <c r="E758" s="5"/>
    </row>
    <row r="759" ht="15.75" customHeight="1">
      <c r="A759" s="5"/>
      <c r="B759" s="5"/>
      <c r="C759" s="5"/>
      <c r="D759" s="5"/>
      <c r="E759" s="5"/>
    </row>
    <row r="760" ht="15.75" customHeight="1">
      <c r="A760" s="5"/>
      <c r="B760" s="5"/>
      <c r="C760" s="5"/>
      <c r="D760" s="5"/>
      <c r="E760" s="5"/>
    </row>
    <row r="761" ht="15.75" customHeight="1">
      <c r="A761" s="5"/>
      <c r="B761" s="5"/>
      <c r="C761" s="5"/>
      <c r="D761" s="5"/>
      <c r="E761" s="5"/>
    </row>
    <row r="762" ht="15.75" customHeight="1">
      <c r="A762" s="5"/>
      <c r="B762" s="5"/>
      <c r="C762" s="5"/>
      <c r="D762" s="5"/>
      <c r="E762" s="5"/>
    </row>
    <row r="763" ht="15.75" customHeight="1">
      <c r="A763" s="5"/>
      <c r="B763" s="5"/>
      <c r="C763" s="5"/>
      <c r="D763" s="5"/>
      <c r="E763" s="5"/>
    </row>
    <row r="764" ht="15.75" customHeight="1">
      <c r="A764" s="5"/>
      <c r="B764" s="5"/>
      <c r="C764" s="5"/>
      <c r="D764" s="5"/>
      <c r="E764" s="5"/>
    </row>
    <row r="765" ht="15.75" customHeight="1">
      <c r="A765" s="5"/>
      <c r="B765" s="5"/>
      <c r="C765" s="5"/>
      <c r="D765" s="5"/>
      <c r="E765" s="5"/>
    </row>
    <row r="766" ht="15.75" customHeight="1">
      <c r="A766" s="5"/>
      <c r="B766" s="5"/>
      <c r="C766" s="5"/>
      <c r="D766" s="5"/>
      <c r="E766" s="5"/>
    </row>
    <row r="767" ht="15.75" customHeight="1">
      <c r="A767" s="5"/>
      <c r="B767" s="5"/>
      <c r="C767" s="5"/>
      <c r="D767" s="5"/>
      <c r="E767" s="5"/>
    </row>
    <row r="768" ht="15.75" customHeight="1">
      <c r="A768" s="5"/>
      <c r="B768" s="5"/>
      <c r="C768" s="5"/>
      <c r="D768" s="5"/>
      <c r="E768" s="5"/>
    </row>
    <row r="769" ht="15.75" customHeight="1">
      <c r="A769" s="5"/>
      <c r="B769" s="5"/>
      <c r="C769" s="5"/>
      <c r="D769" s="5"/>
      <c r="E769" s="5"/>
    </row>
    <row r="770" ht="15.75" customHeight="1">
      <c r="A770" s="5"/>
      <c r="B770" s="5"/>
      <c r="C770" s="5"/>
      <c r="D770" s="5"/>
      <c r="E770" s="5"/>
    </row>
    <row r="771" ht="15.75" customHeight="1">
      <c r="A771" s="5"/>
      <c r="B771" s="5"/>
      <c r="C771" s="5"/>
      <c r="D771" s="5"/>
      <c r="E771" s="5"/>
    </row>
    <row r="772" ht="15.75" customHeight="1">
      <c r="A772" s="5"/>
      <c r="B772" s="5"/>
      <c r="C772" s="5"/>
      <c r="D772" s="5"/>
      <c r="E772" s="5"/>
    </row>
    <row r="773" ht="15.75" customHeight="1">
      <c r="A773" s="5"/>
      <c r="B773" s="5"/>
      <c r="C773" s="5"/>
      <c r="D773" s="5"/>
      <c r="E773" s="5"/>
    </row>
    <row r="774" ht="15.75" customHeight="1">
      <c r="A774" s="5"/>
      <c r="B774" s="5"/>
      <c r="C774" s="5"/>
      <c r="D774" s="5"/>
      <c r="E774" s="5"/>
    </row>
    <row r="775" ht="15.75" customHeight="1">
      <c r="A775" s="5"/>
      <c r="B775" s="5"/>
      <c r="C775" s="5"/>
      <c r="D775" s="5"/>
      <c r="E775" s="5"/>
    </row>
    <row r="776" ht="15.75" customHeight="1">
      <c r="A776" s="5"/>
      <c r="B776" s="5"/>
      <c r="C776" s="5"/>
      <c r="D776" s="5"/>
      <c r="E776" s="5"/>
    </row>
    <row r="777" ht="15.75" customHeight="1">
      <c r="A777" s="5"/>
      <c r="B777" s="5"/>
      <c r="C777" s="5"/>
      <c r="D777" s="5"/>
      <c r="E777" s="5"/>
    </row>
    <row r="778" ht="15.75" customHeight="1">
      <c r="A778" s="5"/>
      <c r="B778" s="5"/>
      <c r="C778" s="5"/>
      <c r="D778" s="5"/>
      <c r="E778" s="5"/>
    </row>
    <row r="779" ht="15.75" customHeight="1">
      <c r="A779" s="5"/>
      <c r="B779" s="5"/>
      <c r="C779" s="5"/>
      <c r="D779" s="5"/>
      <c r="E779" s="5"/>
    </row>
    <row r="780" ht="15.75" customHeight="1">
      <c r="A780" s="5"/>
      <c r="B780" s="5"/>
      <c r="C780" s="5"/>
      <c r="D780" s="5"/>
      <c r="E780" s="5"/>
    </row>
    <row r="781" ht="15.75" customHeight="1">
      <c r="A781" s="5"/>
      <c r="B781" s="5"/>
      <c r="C781" s="5"/>
      <c r="D781" s="5"/>
      <c r="E781" s="5"/>
    </row>
    <row r="782" ht="15.75" customHeight="1">
      <c r="A782" s="5"/>
      <c r="B782" s="5"/>
      <c r="C782" s="5"/>
      <c r="D782" s="5"/>
      <c r="E782" s="5"/>
    </row>
    <row r="783" ht="15.75" customHeight="1">
      <c r="A783" s="5"/>
      <c r="B783" s="5"/>
      <c r="C783" s="5"/>
      <c r="D783" s="5"/>
      <c r="E783" s="5"/>
    </row>
    <row r="784" ht="15.75" customHeight="1">
      <c r="A784" s="5"/>
      <c r="B784" s="5"/>
      <c r="C784" s="5"/>
      <c r="D784" s="5"/>
      <c r="E784" s="5"/>
    </row>
    <row r="785" ht="15.75" customHeight="1">
      <c r="A785" s="5"/>
      <c r="B785" s="5"/>
      <c r="C785" s="5"/>
      <c r="D785" s="5"/>
      <c r="E785" s="5"/>
    </row>
    <row r="786" ht="15.75" customHeight="1">
      <c r="A786" s="5"/>
      <c r="B786" s="5"/>
      <c r="C786" s="5"/>
      <c r="D786" s="5"/>
      <c r="E786" s="5"/>
    </row>
    <row r="787" ht="15.75" customHeight="1">
      <c r="A787" s="5"/>
      <c r="B787" s="5"/>
      <c r="C787" s="5"/>
      <c r="D787" s="5"/>
      <c r="E787" s="5"/>
    </row>
    <row r="788" ht="15.75" customHeight="1">
      <c r="A788" s="5"/>
      <c r="B788" s="5"/>
      <c r="C788" s="5"/>
      <c r="D788" s="5"/>
      <c r="E788" s="5"/>
    </row>
    <row r="789" ht="15.75" customHeight="1">
      <c r="A789" s="5"/>
      <c r="B789" s="5"/>
      <c r="C789" s="5"/>
      <c r="D789" s="5"/>
      <c r="E789" s="5"/>
    </row>
    <row r="790" ht="15.75" customHeight="1">
      <c r="A790" s="5"/>
      <c r="B790" s="5"/>
      <c r="C790" s="5"/>
      <c r="D790" s="5"/>
      <c r="E790" s="5"/>
    </row>
    <row r="791" ht="15.75" customHeight="1">
      <c r="A791" s="5"/>
      <c r="B791" s="5"/>
      <c r="C791" s="5"/>
      <c r="D791" s="5"/>
      <c r="E791" s="5"/>
    </row>
    <row r="792" ht="15.75" customHeight="1">
      <c r="A792" s="5"/>
      <c r="B792" s="5"/>
      <c r="C792" s="5"/>
      <c r="D792" s="5"/>
      <c r="E792" s="5"/>
    </row>
    <row r="793" ht="15.75" customHeight="1">
      <c r="A793" s="5"/>
      <c r="B793" s="5"/>
      <c r="C793" s="5"/>
      <c r="D793" s="5"/>
      <c r="E793" s="5"/>
    </row>
    <row r="794" ht="15.75" customHeight="1">
      <c r="A794" s="5"/>
      <c r="B794" s="5"/>
      <c r="C794" s="5"/>
      <c r="D794" s="5"/>
      <c r="E794" s="5"/>
    </row>
    <row r="795" ht="15.75" customHeight="1">
      <c r="A795" s="5"/>
      <c r="B795" s="5"/>
      <c r="C795" s="5"/>
      <c r="D795" s="5"/>
      <c r="E795" s="5"/>
    </row>
    <row r="796" ht="15.75" customHeight="1">
      <c r="A796" s="5"/>
      <c r="B796" s="5"/>
      <c r="C796" s="5"/>
      <c r="D796" s="5"/>
      <c r="E796" s="5"/>
    </row>
    <row r="797" ht="15.75" customHeight="1">
      <c r="A797" s="5"/>
      <c r="B797" s="5"/>
      <c r="C797" s="5"/>
      <c r="D797" s="5"/>
      <c r="E797" s="5"/>
    </row>
    <row r="798" ht="15.75" customHeight="1">
      <c r="A798" s="5"/>
      <c r="B798" s="5"/>
      <c r="C798" s="5"/>
      <c r="D798" s="5"/>
      <c r="E798" s="5"/>
    </row>
    <row r="799" ht="15.75" customHeight="1">
      <c r="A799" s="5"/>
      <c r="B799" s="5"/>
      <c r="C799" s="5"/>
      <c r="D799" s="5"/>
      <c r="E799" s="5"/>
    </row>
    <row r="800" ht="15.75" customHeight="1">
      <c r="A800" s="5"/>
      <c r="B800" s="5"/>
      <c r="C800" s="5"/>
      <c r="D800" s="5"/>
      <c r="E800" s="5"/>
    </row>
    <row r="801" ht="15.75" customHeight="1">
      <c r="A801" s="5"/>
      <c r="B801" s="5"/>
      <c r="C801" s="5"/>
      <c r="D801" s="5"/>
      <c r="E801" s="5"/>
    </row>
    <row r="802" ht="15.75" customHeight="1">
      <c r="A802" s="5"/>
      <c r="B802" s="5"/>
      <c r="C802" s="5"/>
      <c r="D802" s="5"/>
      <c r="E802" s="5"/>
    </row>
    <row r="803" ht="15.75" customHeight="1">
      <c r="A803" s="5"/>
      <c r="B803" s="5"/>
      <c r="C803" s="5"/>
      <c r="D803" s="5"/>
      <c r="E803" s="5"/>
    </row>
    <row r="804" ht="15.75" customHeight="1">
      <c r="A804" s="5"/>
      <c r="B804" s="5"/>
      <c r="C804" s="5"/>
      <c r="D804" s="5"/>
      <c r="E804" s="5"/>
    </row>
    <row r="805" ht="15.75" customHeight="1">
      <c r="A805" s="5"/>
      <c r="B805" s="5"/>
      <c r="C805" s="5"/>
      <c r="D805" s="5"/>
      <c r="E805" s="5"/>
    </row>
    <row r="806" ht="15.75" customHeight="1">
      <c r="A806" s="5"/>
      <c r="B806" s="5"/>
      <c r="C806" s="5"/>
      <c r="D806" s="5"/>
      <c r="E806" s="5"/>
    </row>
    <row r="807" ht="15.75" customHeight="1">
      <c r="A807" s="5"/>
      <c r="B807" s="5"/>
      <c r="C807" s="5"/>
      <c r="D807" s="5"/>
      <c r="E807" s="5"/>
    </row>
    <row r="808" ht="15.75" customHeight="1">
      <c r="A808" s="5"/>
      <c r="B808" s="5"/>
      <c r="C808" s="5"/>
      <c r="D808" s="5"/>
      <c r="E808" s="5"/>
    </row>
    <row r="809" ht="15.75" customHeight="1">
      <c r="A809" s="5"/>
      <c r="B809" s="5"/>
      <c r="C809" s="5"/>
      <c r="D809" s="5"/>
      <c r="E809" s="5"/>
    </row>
    <row r="810" ht="15.75" customHeight="1">
      <c r="A810" s="5"/>
      <c r="B810" s="5"/>
      <c r="C810" s="5"/>
      <c r="D810" s="5"/>
      <c r="E810" s="5"/>
    </row>
    <row r="811" ht="15.75" customHeight="1">
      <c r="A811" s="5"/>
      <c r="B811" s="5"/>
      <c r="C811" s="5"/>
      <c r="D811" s="5"/>
      <c r="E811" s="5"/>
    </row>
    <row r="812" ht="15.75" customHeight="1">
      <c r="A812" s="5"/>
      <c r="B812" s="5"/>
      <c r="C812" s="5"/>
      <c r="D812" s="5"/>
      <c r="E812" s="5"/>
    </row>
    <row r="813" ht="15.75" customHeight="1">
      <c r="A813" s="5"/>
      <c r="B813" s="5"/>
      <c r="C813" s="5"/>
      <c r="D813" s="5"/>
      <c r="E813" s="5"/>
    </row>
    <row r="814" ht="15.75" customHeight="1">
      <c r="A814" s="5"/>
      <c r="B814" s="5"/>
      <c r="C814" s="5"/>
      <c r="D814" s="5"/>
      <c r="E814" s="5"/>
    </row>
    <row r="815" ht="15.75" customHeight="1">
      <c r="A815" s="5"/>
      <c r="B815" s="5"/>
      <c r="C815" s="5"/>
      <c r="D815" s="5"/>
      <c r="E815" s="5"/>
    </row>
    <row r="816" ht="15.75" customHeight="1">
      <c r="A816" s="5"/>
      <c r="B816" s="5"/>
      <c r="C816" s="5"/>
      <c r="D816" s="5"/>
      <c r="E816" s="5"/>
    </row>
    <row r="817" ht="15.75" customHeight="1">
      <c r="A817" s="5"/>
      <c r="B817" s="5"/>
      <c r="C817" s="5"/>
      <c r="D817" s="5"/>
      <c r="E817" s="5"/>
    </row>
    <row r="818" ht="15.75" customHeight="1">
      <c r="A818" s="5"/>
      <c r="B818" s="5"/>
      <c r="C818" s="5"/>
      <c r="D818" s="5"/>
      <c r="E818" s="5"/>
    </row>
    <row r="819" ht="15.75" customHeight="1">
      <c r="A819" s="5"/>
      <c r="B819" s="5"/>
      <c r="C819" s="5"/>
      <c r="D819" s="5"/>
      <c r="E819" s="5"/>
    </row>
    <row r="820" ht="15.75" customHeight="1">
      <c r="A820" s="5"/>
      <c r="B820" s="5"/>
      <c r="C820" s="5"/>
      <c r="D820" s="5"/>
      <c r="E820" s="5"/>
    </row>
    <row r="821" ht="15.75" customHeight="1">
      <c r="A821" s="5"/>
      <c r="B821" s="5"/>
      <c r="C821" s="5"/>
      <c r="D821" s="5"/>
      <c r="E821" s="5"/>
    </row>
    <row r="822" ht="15.75" customHeight="1">
      <c r="A822" s="5"/>
      <c r="B822" s="5"/>
      <c r="C822" s="5"/>
      <c r="D822" s="5"/>
      <c r="E822" s="5"/>
    </row>
    <row r="823" ht="15.75" customHeight="1">
      <c r="A823" s="5"/>
      <c r="B823" s="5"/>
      <c r="C823" s="5"/>
      <c r="D823" s="5"/>
      <c r="E823" s="5"/>
    </row>
    <row r="824" ht="15.75" customHeight="1">
      <c r="A824" s="5"/>
      <c r="B824" s="5"/>
      <c r="C824" s="5"/>
      <c r="D824" s="5"/>
      <c r="E824" s="5"/>
    </row>
    <row r="825" ht="15.75" customHeight="1">
      <c r="A825" s="5"/>
      <c r="B825" s="5"/>
      <c r="C825" s="5"/>
      <c r="D825" s="5"/>
      <c r="E825" s="5"/>
    </row>
    <row r="826" ht="15.75" customHeight="1">
      <c r="A826" s="5"/>
      <c r="B826" s="5"/>
      <c r="C826" s="5"/>
      <c r="D826" s="5"/>
      <c r="E826" s="5"/>
    </row>
    <row r="827" ht="15.75" customHeight="1">
      <c r="A827" s="5"/>
      <c r="B827" s="5"/>
      <c r="C827" s="5"/>
      <c r="D827" s="5"/>
      <c r="E827" s="5"/>
    </row>
    <row r="828" ht="15.75" customHeight="1">
      <c r="A828" s="5"/>
      <c r="B828" s="5"/>
      <c r="C828" s="5"/>
      <c r="D828" s="5"/>
      <c r="E828" s="5"/>
    </row>
    <row r="829" ht="15.75" customHeight="1">
      <c r="A829" s="5"/>
      <c r="B829" s="5"/>
      <c r="C829" s="5"/>
      <c r="D829" s="5"/>
      <c r="E829" s="5"/>
    </row>
    <row r="830" ht="15.75" customHeight="1">
      <c r="A830" s="5"/>
      <c r="B830" s="5"/>
      <c r="C830" s="5"/>
      <c r="D830" s="5"/>
      <c r="E830" s="5"/>
    </row>
    <row r="831" ht="15.75" customHeight="1">
      <c r="A831" s="5"/>
      <c r="B831" s="5"/>
      <c r="C831" s="5"/>
      <c r="D831" s="5"/>
      <c r="E831" s="5"/>
    </row>
    <row r="832" ht="15.75" customHeight="1">
      <c r="A832" s="5"/>
      <c r="B832" s="5"/>
      <c r="C832" s="5"/>
      <c r="D832" s="5"/>
      <c r="E832" s="5"/>
    </row>
    <row r="833" ht="15.75" customHeight="1">
      <c r="A833" s="5"/>
      <c r="B833" s="5"/>
      <c r="C833" s="5"/>
      <c r="D833" s="5"/>
      <c r="E833" s="5"/>
    </row>
    <row r="834" ht="15.75" customHeight="1">
      <c r="A834" s="5"/>
      <c r="B834" s="5"/>
      <c r="C834" s="5"/>
      <c r="D834" s="5"/>
      <c r="E834" s="5"/>
    </row>
    <row r="835" ht="15.75" customHeight="1">
      <c r="A835" s="5"/>
      <c r="B835" s="5"/>
      <c r="C835" s="5"/>
      <c r="D835" s="5"/>
      <c r="E835" s="5"/>
    </row>
    <row r="836" ht="15.75" customHeight="1">
      <c r="A836" s="5"/>
      <c r="B836" s="5"/>
      <c r="C836" s="5"/>
      <c r="D836" s="5"/>
      <c r="E836" s="5"/>
    </row>
    <row r="837" ht="15.75" customHeight="1">
      <c r="A837" s="5"/>
      <c r="B837" s="5"/>
      <c r="C837" s="5"/>
      <c r="D837" s="5"/>
      <c r="E837" s="5"/>
    </row>
    <row r="838" ht="15.75" customHeight="1">
      <c r="A838" s="5"/>
      <c r="B838" s="5"/>
      <c r="C838" s="5"/>
      <c r="D838" s="5"/>
      <c r="E838" s="5"/>
    </row>
    <row r="839" ht="15.75" customHeight="1">
      <c r="A839" s="5"/>
      <c r="B839" s="5"/>
      <c r="C839" s="5"/>
      <c r="D839" s="5"/>
      <c r="E839" s="5"/>
    </row>
    <row r="840" ht="15.75" customHeight="1">
      <c r="A840" s="5"/>
      <c r="B840" s="5"/>
      <c r="C840" s="5"/>
      <c r="D840" s="5"/>
      <c r="E840" s="5"/>
    </row>
    <row r="841" ht="15.75" customHeight="1">
      <c r="A841" s="5"/>
      <c r="B841" s="5"/>
      <c r="C841" s="5"/>
      <c r="D841" s="5"/>
      <c r="E841" s="5"/>
    </row>
    <row r="842" ht="15.75" customHeight="1">
      <c r="A842" s="5"/>
      <c r="B842" s="5"/>
      <c r="C842" s="5"/>
      <c r="D842" s="5"/>
      <c r="E842" s="5"/>
    </row>
    <row r="843" ht="15.75" customHeight="1">
      <c r="A843" s="5"/>
      <c r="B843" s="5"/>
      <c r="C843" s="5"/>
      <c r="D843" s="5"/>
      <c r="E843" s="5"/>
    </row>
    <row r="844" ht="15.75" customHeight="1">
      <c r="A844" s="5"/>
      <c r="B844" s="5"/>
      <c r="C844" s="5"/>
      <c r="D844" s="5"/>
      <c r="E844" s="5"/>
    </row>
    <row r="845" ht="15.75" customHeight="1">
      <c r="A845" s="5"/>
      <c r="B845" s="5"/>
      <c r="C845" s="5"/>
      <c r="D845" s="5"/>
      <c r="E845" s="5"/>
    </row>
    <row r="846" ht="15.75" customHeight="1">
      <c r="A846" s="5"/>
      <c r="B846" s="5"/>
      <c r="C846" s="5"/>
      <c r="D846" s="5"/>
      <c r="E846" s="5"/>
    </row>
    <row r="847" ht="15.75" customHeight="1">
      <c r="A847" s="5"/>
      <c r="B847" s="5"/>
      <c r="C847" s="5"/>
      <c r="D847" s="5"/>
      <c r="E847" s="5"/>
    </row>
    <row r="848" ht="15.75" customHeight="1">
      <c r="A848" s="5"/>
      <c r="B848" s="5"/>
      <c r="C848" s="5"/>
      <c r="D848" s="5"/>
      <c r="E848" s="5"/>
    </row>
    <row r="849" ht="15.75" customHeight="1">
      <c r="A849" s="5"/>
      <c r="B849" s="5"/>
      <c r="C849" s="5"/>
      <c r="D849" s="5"/>
      <c r="E849" s="5"/>
    </row>
    <row r="850" ht="15.75" customHeight="1">
      <c r="A850" s="5"/>
      <c r="B850" s="5"/>
      <c r="C850" s="5"/>
      <c r="D850" s="5"/>
      <c r="E850" s="5"/>
    </row>
    <row r="851" ht="15.75" customHeight="1">
      <c r="A851" s="5"/>
      <c r="B851" s="5"/>
      <c r="C851" s="5"/>
      <c r="D851" s="5"/>
      <c r="E851" s="5"/>
    </row>
    <row r="852" ht="15.75" customHeight="1">
      <c r="A852" s="5"/>
      <c r="B852" s="5"/>
      <c r="C852" s="5"/>
      <c r="D852" s="5"/>
      <c r="E852" s="5"/>
    </row>
    <row r="853" ht="15.75" customHeight="1">
      <c r="A853" s="5"/>
      <c r="B853" s="5"/>
      <c r="C853" s="5"/>
      <c r="D853" s="5"/>
      <c r="E853" s="5"/>
    </row>
    <row r="854" ht="15.75" customHeight="1">
      <c r="A854" s="5"/>
      <c r="B854" s="5"/>
      <c r="C854" s="5"/>
      <c r="D854" s="5"/>
      <c r="E854" s="5"/>
    </row>
    <row r="855" ht="15.75" customHeight="1">
      <c r="A855" s="5"/>
      <c r="B855" s="5"/>
      <c r="C855" s="5"/>
      <c r="D855" s="5"/>
      <c r="E855" s="5"/>
    </row>
    <row r="856" ht="15.75" customHeight="1">
      <c r="A856" s="5"/>
      <c r="B856" s="5"/>
      <c r="C856" s="5"/>
      <c r="D856" s="5"/>
      <c r="E856" s="5"/>
    </row>
    <row r="857" ht="15.75" customHeight="1">
      <c r="A857" s="5"/>
      <c r="B857" s="5"/>
      <c r="C857" s="5"/>
      <c r="D857" s="5"/>
      <c r="E857" s="5"/>
    </row>
    <row r="858" ht="15.75" customHeight="1">
      <c r="A858" s="5"/>
      <c r="B858" s="5"/>
      <c r="C858" s="5"/>
      <c r="D858" s="5"/>
      <c r="E858" s="5"/>
    </row>
    <row r="859" ht="15.75" customHeight="1">
      <c r="A859" s="5"/>
      <c r="B859" s="5"/>
      <c r="C859" s="5"/>
      <c r="D859" s="5"/>
      <c r="E859" s="5"/>
    </row>
    <row r="860" ht="15.75" customHeight="1">
      <c r="A860" s="5"/>
      <c r="B860" s="5"/>
      <c r="C860" s="5"/>
      <c r="D860" s="5"/>
      <c r="E860" s="5"/>
    </row>
    <row r="861" ht="15.75" customHeight="1">
      <c r="A861" s="5"/>
      <c r="B861" s="5"/>
      <c r="C861" s="5"/>
      <c r="D861" s="5"/>
      <c r="E861" s="5"/>
    </row>
    <row r="862" ht="15.75" customHeight="1">
      <c r="A862" s="5"/>
      <c r="B862" s="5"/>
      <c r="C862" s="5"/>
      <c r="D862" s="5"/>
      <c r="E862" s="5"/>
    </row>
    <row r="863" ht="15.75" customHeight="1">
      <c r="A863" s="5"/>
      <c r="B863" s="5"/>
      <c r="C863" s="5"/>
      <c r="D863" s="5"/>
      <c r="E863" s="5"/>
    </row>
    <row r="864" ht="15.75" customHeight="1">
      <c r="A864" s="5"/>
      <c r="B864" s="5"/>
      <c r="C864" s="5"/>
      <c r="D864" s="5"/>
      <c r="E864" s="5"/>
    </row>
    <row r="865" ht="15.75" customHeight="1">
      <c r="A865" s="5"/>
      <c r="B865" s="5"/>
      <c r="C865" s="5"/>
      <c r="D865" s="5"/>
      <c r="E865" s="5"/>
    </row>
    <row r="866" ht="15.75" customHeight="1">
      <c r="A866" s="5"/>
      <c r="B866" s="5"/>
      <c r="C866" s="5"/>
      <c r="D866" s="5"/>
      <c r="E866" s="5"/>
    </row>
    <row r="867" ht="15.75" customHeight="1">
      <c r="A867" s="5"/>
      <c r="B867" s="5"/>
      <c r="C867" s="5"/>
      <c r="D867" s="5"/>
      <c r="E867" s="5"/>
    </row>
    <row r="868" ht="15.75" customHeight="1">
      <c r="A868" s="5"/>
      <c r="B868" s="5"/>
      <c r="C868" s="5"/>
      <c r="D868" s="5"/>
      <c r="E868" s="5"/>
    </row>
    <row r="869" ht="15.75" customHeight="1">
      <c r="A869" s="5"/>
      <c r="B869" s="5"/>
      <c r="C869" s="5"/>
      <c r="D869" s="5"/>
      <c r="E869" s="5"/>
    </row>
    <row r="870" ht="15.75" customHeight="1">
      <c r="A870" s="5"/>
      <c r="B870" s="5"/>
      <c r="C870" s="5"/>
      <c r="D870" s="5"/>
      <c r="E870" s="5"/>
    </row>
    <row r="871" ht="15.75" customHeight="1">
      <c r="A871" s="5"/>
      <c r="B871" s="5"/>
      <c r="C871" s="5"/>
      <c r="D871" s="5"/>
      <c r="E871" s="5"/>
    </row>
    <row r="872" ht="15.75" customHeight="1">
      <c r="A872" s="5"/>
      <c r="B872" s="5"/>
      <c r="C872" s="5"/>
      <c r="D872" s="5"/>
      <c r="E872" s="5"/>
    </row>
    <row r="873" ht="15.75" customHeight="1">
      <c r="A873" s="5"/>
      <c r="B873" s="5"/>
      <c r="C873" s="5"/>
      <c r="D873" s="5"/>
      <c r="E873" s="5"/>
    </row>
    <row r="874" ht="15.75" customHeight="1">
      <c r="A874" s="5"/>
      <c r="B874" s="5"/>
      <c r="C874" s="5"/>
      <c r="D874" s="5"/>
      <c r="E874" s="5"/>
    </row>
    <row r="875" ht="15.75" customHeight="1">
      <c r="A875" s="5"/>
      <c r="B875" s="5"/>
      <c r="C875" s="5"/>
      <c r="D875" s="5"/>
      <c r="E875" s="5"/>
    </row>
    <row r="876" ht="15.75" customHeight="1">
      <c r="A876" s="5"/>
      <c r="B876" s="5"/>
      <c r="C876" s="5"/>
      <c r="D876" s="5"/>
      <c r="E876" s="5"/>
    </row>
    <row r="877" ht="15.75" customHeight="1">
      <c r="A877" s="5"/>
      <c r="B877" s="5"/>
      <c r="C877" s="5"/>
      <c r="D877" s="5"/>
      <c r="E877" s="5"/>
    </row>
    <row r="878" ht="15.75" customHeight="1">
      <c r="A878" s="5"/>
      <c r="B878" s="5"/>
      <c r="C878" s="5"/>
      <c r="D878" s="5"/>
      <c r="E878" s="5"/>
    </row>
    <row r="879" ht="15.75" customHeight="1">
      <c r="A879" s="5"/>
      <c r="B879" s="5"/>
      <c r="C879" s="5"/>
      <c r="D879" s="5"/>
      <c r="E879" s="5"/>
    </row>
    <row r="880" ht="15.75" customHeight="1">
      <c r="A880" s="5"/>
      <c r="B880" s="5"/>
      <c r="C880" s="5"/>
      <c r="D880" s="5"/>
      <c r="E880" s="5"/>
    </row>
    <row r="881" ht="15.75" customHeight="1">
      <c r="A881" s="5"/>
      <c r="B881" s="5"/>
      <c r="C881" s="5"/>
      <c r="D881" s="5"/>
      <c r="E881" s="5"/>
    </row>
    <row r="882" ht="15.75" customHeight="1">
      <c r="A882" s="5"/>
      <c r="B882" s="5"/>
      <c r="C882" s="5"/>
      <c r="D882" s="5"/>
      <c r="E882" s="5"/>
    </row>
    <row r="883" ht="15.75" customHeight="1">
      <c r="A883" s="5"/>
      <c r="B883" s="5"/>
      <c r="C883" s="5"/>
      <c r="D883" s="5"/>
      <c r="E883" s="5"/>
    </row>
    <row r="884" ht="15.75" customHeight="1">
      <c r="A884" s="5"/>
      <c r="B884" s="5"/>
      <c r="C884" s="5"/>
      <c r="D884" s="5"/>
      <c r="E884" s="5"/>
    </row>
    <row r="885" ht="15.75" customHeight="1">
      <c r="A885" s="5"/>
      <c r="B885" s="5"/>
      <c r="C885" s="5"/>
      <c r="D885" s="5"/>
      <c r="E885" s="5"/>
    </row>
    <row r="886" ht="15.75" customHeight="1">
      <c r="A886" s="5"/>
      <c r="B886" s="5"/>
      <c r="C886" s="5"/>
      <c r="D886" s="5"/>
      <c r="E886" s="5"/>
    </row>
    <row r="887" ht="15.75" customHeight="1">
      <c r="A887" s="5"/>
      <c r="B887" s="5"/>
      <c r="C887" s="5"/>
      <c r="D887" s="5"/>
      <c r="E887" s="5"/>
    </row>
    <row r="888" ht="15.75" customHeight="1">
      <c r="A888" s="5"/>
      <c r="B888" s="5"/>
      <c r="C888" s="5"/>
      <c r="D888" s="5"/>
      <c r="E888" s="5"/>
    </row>
    <row r="889" ht="15.75" customHeight="1">
      <c r="A889" s="5"/>
      <c r="B889" s="5"/>
      <c r="C889" s="5"/>
      <c r="D889" s="5"/>
      <c r="E889" s="5"/>
    </row>
    <row r="890" ht="15.75" customHeight="1">
      <c r="A890" s="5"/>
      <c r="B890" s="5"/>
      <c r="C890" s="5"/>
      <c r="D890" s="5"/>
      <c r="E890" s="5"/>
    </row>
    <row r="891" ht="15.75" customHeight="1">
      <c r="A891" s="5"/>
      <c r="B891" s="5"/>
      <c r="C891" s="5"/>
      <c r="D891" s="5"/>
      <c r="E891" s="5"/>
    </row>
    <row r="892" ht="15.75" customHeight="1">
      <c r="A892" s="5"/>
      <c r="B892" s="5"/>
      <c r="C892" s="5"/>
      <c r="D892" s="5"/>
      <c r="E892" s="5"/>
    </row>
    <row r="893" ht="15.75" customHeight="1">
      <c r="A893" s="5"/>
      <c r="B893" s="5"/>
      <c r="C893" s="5"/>
      <c r="D893" s="5"/>
      <c r="E893" s="5"/>
    </row>
    <row r="894" ht="15.75" customHeight="1">
      <c r="A894" s="5"/>
      <c r="B894" s="5"/>
      <c r="C894" s="5"/>
      <c r="D894" s="5"/>
      <c r="E894" s="5"/>
    </row>
    <row r="895" ht="15.75" customHeight="1">
      <c r="A895" s="5"/>
      <c r="B895" s="5"/>
      <c r="C895" s="5"/>
      <c r="D895" s="5"/>
      <c r="E895" s="5"/>
    </row>
    <row r="896" ht="15.75" customHeight="1">
      <c r="A896" s="5"/>
      <c r="B896" s="5"/>
      <c r="C896" s="5"/>
      <c r="D896" s="5"/>
      <c r="E896" s="5"/>
    </row>
    <row r="897" ht="15.75" customHeight="1">
      <c r="A897" s="5"/>
      <c r="B897" s="5"/>
      <c r="C897" s="5"/>
      <c r="D897" s="5"/>
      <c r="E897" s="5"/>
    </row>
    <row r="898" ht="15.75" customHeight="1">
      <c r="A898" s="5"/>
      <c r="B898" s="5"/>
      <c r="C898" s="5"/>
      <c r="D898" s="5"/>
      <c r="E898" s="5"/>
    </row>
    <row r="899" ht="15.75" customHeight="1">
      <c r="A899" s="5"/>
      <c r="B899" s="5"/>
      <c r="C899" s="5"/>
      <c r="D899" s="5"/>
      <c r="E899" s="5"/>
    </row>
    <row r="900" ht="15.75" customHeight="1">
      <c r="A900" s="5"/>
      <c r="B900" s="5"/>
      <c r="C900" s="5"/>
      <c r="D900" s="5"/>
      <c r="E900" s="5"/>
    </row>
    <row r="901" ht="15.75" customHeight="1">
      <c r="A901" s="5"/>
      <c r="B901" s="5"/>
      <c r="C901" s="5"/>
      <c r="D901" s="5"/>
      <c r="E901" s="5"/>
    </row>
    <row r="902" ht="15.75" customHeight="1">
      <c r="A902" s="5"/>
      <c r="B902" s="5"/>
      <c r="C902" s="5"/>
      <c r="D902" s="5"/>
      <c r="E902" s="5"/>
    </row>
    <row r="903" ht="15.75" customHeight="1">
      <c r="A903" s="5"/>
      <c r="B903" s="5"/>
      <c r="C903" s="5"/>
      <c r="D903" s="5"/>
      <c r="E903" s="5"/>
    </row>
    <row r="904" ht="15.75" customHeight="1">
      <c r="A904" s="5"/>
      <c r="B904" s="5"/>
      <c r="C904" s="5"/>
      <c r="D904" s="5"/>
      <c r="E904" s="5"/>
    </row>
    <row r="905" ht="15.75" customHeight="1">
      <c r="A905" s="5"/>
      <c r="B905" s="5"/>
      <c r="C905" s="5"/>
      <c r="D905" s="5"/>
      <c r="E905" s="5"/>
    </row>
    <row r="906" ht="15.75" customHeight="1">
      <c r="A906" s="5"/>
      <c r="B906" s="5"/>
      <c r="C906" s="5"/>
      <c r="D906" s="5"/>
      <c r="E906" s="5"/>
    </row>
    <row r="907" ht="15.75" customHeight="1">
      <c r="A907" s="5"/>
      <c r="B907" s="5"/>
      <c r="C907" s="5"/>
      <c r="D907" s="5"/>
      <c r="E907" s="5"/>
    </row>
    <row r="908" ht="15.75" customHeight="1">
      <c r="A908" s="5"/>
      <c r="B908" s="5"/>
      <c r="C908" s="5"/>
      <c r="D908" s="5"/>
      <c r="E908" s="5"/>
    </row>
    <row r="909" ht="15.75" customHeight="1">
      <c r="A909" s="5"/>
      <c r="B909" s="5"/>
      <c r="C909" s="5"/>
      <c r="D909" s="5"/>
      <c r="E909" s="5"/>
    </row>
    <row r="910" ht="15.75" customHeight="1">
      <c r="A910" s="5"/>
      <c r="B910" s="5"/>
      <c r="C910" s="5"/>
      <c r="D910" s="5"/>
      <c r="E910" s="5"/>
    </row>
    <row r="911" ht="15.75" customHeight="1">
      <c r="A911" s="5"/>
      <c r="B911" s="5"/>
      <c r="C911" s="5"/>
      <c r="D911" s="5"/>
      <c r="E911" s="5"/>
    </row>
    <row r="912" ht="15.75" customHeight="1">
      <c r="A912" s="5"/>
      <c r="B912" s="5"/>
      <c r="C912" s="5"/>
      <c r="D912" s="5"/>
      <c r="E912" s="5"/>
    </row>
    <row r="913" ht="15.75" customHeight="1">
      <c r="A913" s="5"/>
      <c r="B913" s="5"/>
      <c r="C913" s="5"/>
      <c r="D913" s="5"/>
      <c r="E913" s="5"/>
    </row>
    <row r="914" ht="15.75" customHeight="1">
      <c r="A914" s="5"/>
      <c r="B914" s="5"/>
      <c r="C914" s="5"/>
      <c r="D914" s="5"/>
      <c r="E914" s="5"/>
    </row>
    <row r="915" ht="15.75" customHeight="1">
      <c r="A915" s="5"/>
      <c r="B915" s="5"/>
      <c r="C915" s="5"/>
      <c r="D915" s="5"/>
      <c r="E915" s="5"/>
    </row>
    <row r="916" ht="15.75" customHeight="1">
      <c r="A916" s="5"/>
      <c r="B916" s="5"/>
      <c r="C916" s="5"/>
      <c r="D916" s="5"/>
      <c r="E916" s="5"/>
    </row>
    <row r="917" ht="15.75" customHeight="1">
      <c r="A917" s="5"/>
      <c r="B917" s="5"/>
      <c r="C917" s="5"/>
      <c r="D917" s="5"/>
      <c r="E917" s="5"/>
    </row>
    <row r="918" ht="15.75" customHeight="1">
      <c r="A918" s="5"/>
      <c r="B918" s="5"/>
      <c r="C918" s="5"/>
      <c r="D918" s="5"/>
      <c r="E918" s="5"/>
    </row>
    <row r="919" ht="15.75" customHeight="1">
      <c r="A919" s="5"/>
      <c r="B919" s="5"/>
      <c r="C919" s="5"/>
      <c r="D919" s="5"/>
      <c r="E919" s="5"/>
    </row>
    <row r="920" ht="15.75" customHeight="1">
      <c r="A920" s="5"/>
      <c r="B920" s="5"/>
      <c r="C920" s="5"/>
      <c r="D920" s="5"/>
      <c r="E920" s="5"/>
    </row>
    <row r="921" ht="15.75" customHeight="1">
      <c r="A921" s="5"/>
      <c r="B921" s="5"/>
      <c r="C921" s="5"/>
      <c r="D921" s="5"/>
      <c r="E921" s="5"/>
    </row>
    <row r="922" ht="15.75" customHeight="1">
      <c r="A922" s="5"/>
      <c r="B922" s="5"/>
      <c r="C922" s="5"/>
      <c r="D922" s="5"/>
      <c r="E922" s="5"/>
    </row>
    <row r="923" ht="15.75" customHeight="1">
      <c r="A923" s="5"/>
      <c r="B923" s="5"/>
      <c r="C923" s="5"/>
      <c r="D923" s="5"/>
      <c r="E923" s="5"/>
    </row>
    <row r="924" ht="15.75" customHeight="1">
      <c r="A924" s="5"/>
      <c r="B924" s="5"/>
      <c r="C924" s="5"/>
      <c r="D924" s="5"/>
      <c r="E924" s="5"/>
    </row>
    <row r="925" ht="15.75" customHeight="1">
      <c r="A925" s="5"/>
      <c r="B925" s="5"/>
      <c r="C925" s="5"/>
      <c r="D925" s="5"/>
      <c r="E925" s="5"/>
    </row>
    <row r="926" ht="15.75" customHeight="1">
      <c r="A926" s="5"/>
      <c r="B926" s="5"/>
      <c r="C926" s="5"/>
      <c r="D926" s="5"/>
      <c r="E926" s="5"/>
    </row>
    <row r="927" ht="15.75" customHeight="1">
      <c r="A927" s="5"/>
      <c r="B927" s="5"/>
      <c r="C927" s="5"/>
      <c r="D927" s="5"/>
      <c r="E927" s="5"/>
    </row>
    <row r="928" ht="15.75" customHeight="1">
      <c r="A928" s="5"/>
      <c r="B928" s="5"/>
      <c r="C928" s="5"/>
      <c r="D928" s="5"/>
      <c r="E928" s="5"/>
    </row>
    <row r="929" ht="15.75" customHeight="1">
      <c r="A929" s="5"/>
      <c r="B929" s="5"/>
      <c r="C929" s="5"/>
      <c r="D929" s="5"/>
      <c r="E929" s="5"/>
    </row>
    <row r="930" ht="15.75" customHeight="1">
      <c r="A930" s="5"/>
      <c r="B930" s="5"/>
      <c r="C930" s="5"/>
      <c r="D930" s="5"/>
      <c r="E930" s="5"/>
    </row>
    <row r="931" ht="15.75" customHeight="1">
      <c r="A931" s="5"/>
      <c r="B931" s="5"/>
      <c r="C931" s="5"/>
      <c r="D931" s="5"/>
      <c r="E931" s="5"/>
    </row>
    <row r="932" ht="15.75" customHeight="1">
      <c r="A932" s="5"/>
      <c r="B932" s="5"/>
      <c r="C932" s="5"/>
      <c r="D932" s="5"/>
      <c r="E932" s="5"/>
    </row>
    <row r="933" ht="15.75" customHeight="1">
      <c r="A933" s="5"/>
      <c r="B933" s="5"/>
      <c r="C933" s="5"/>
      <c r="D933" s="5"/>
      <c r="E933" s="5"/>
    </row>
    <row r="934" ht="15.75" customHeight="1">
      <c r="A934" s="5"/>
      <c r="B934" s="5"/>
      <c r="C934" s="5"/>
      <c r="D934" s="5"/>
      <c r="E934" s="5"/>
    </row>
    <row r="935" ht="15.75" customHeight="1">
      <c r="A935" s="5"/>
      <c r="B935" s="5"/>
      <c r="C935" s="5"/>
      <c r="D935" s="5"/>
      <c r="E935" s="5"/>
    </row>
    <row r="936" ht="15.75" customHeight="1">
      <c r="A936" s="5"/>
      <c r="B936" s="5"/>
      <c r="C936" s="5"/>
      <c r="D936" s="5"/>
      <c r="E936" s="5"/>
    </row>
    <row r="937" ht="15.75" customHeight="1">
      <c r="A937" s="5"/>
      <c r="B937" s="5"/>
      <c r="C937" s="5"/>
      <c r="D937" s="5"/>
      <c r="E937" s="5"/>
    </row>
    <row r="938" ht="15.75" customHeight="1">
      <c r="A938" s="5"/>
      <c r="B938" s="5"/>
      <c r="C938" s="5"/>
      <c r="D938" s="5"/>
      <c r="E938" s="5"/>
    </row>
    <row r="939" ht="15.75" customHeight="1">
      <c r="A939" s="5"/>
      <c r="B939" s="5"/>
      <c r="C939" s="5"/>
      <c r="D939" s="5"/>
      <c r="E939" s="5"/>
    </row>
    <row r="940" ht="15.75" customHeight="1">
      <c r="A940" s="5"/>
      <c r="B940" s="5"/>
      <c r="C940" s="5"/>
      <c r="D940" s="5"/>
      <c r="E940" s="5"/>
    </row>
    <row r="941" ht="15.75" customHeight="1">
      <c r="A941" s="5"/>
      <c r="B941" s="5"/>
      <c r="C941" s="5"/>
      <c r="D941" s="5"/>
      <c r="E941" s="5"/>
    </row>
    <row r="942" ht="15.75" customHeight="1">
      <c r="A942" s="5"/>
      <c r="B942" s="5"/>
      <c r="C942" s="5"/>
      <c r="D942" s="5"/>
      <c r="E942" s="5"/>
    </row>
    <row r="943" ht="15.75" customHeight="1">
      <c r="A943" s="5"/>
      <c r="B943" s="5"/>
      <c r="C943" s="5"/>
      <c r="D943" s="5"/>
      <c r="E943" s="5"/>
    </row>
    <row r="944" ht="15.75" customHeight="1">
      <c r="A944" s="5"/>
      <c r="B944" s="5"/>
      <c r="C944" s="5"/>
      <c r="D944" s="5"/>
      <c r="E944" s="5"/>
    </row>
    <row r="945" ht="15.75" customHeight="1">
      <c r="A945" s="5"/>
      <c r="B945" s="5"/>
      <c r="C945" s="5"/>
      <c r="D945" s="5"/>
      <c r="E945" s="5"/>
    </row>
    <row r="946" ht="15.75" customHeight="1">
      <c r="A946" s="5"/>
      <c r="B946" s="5"/>
      <c r="C946" s="5"/>
      <c r="D946" s="5"/>
      <c r="E946" s="5"/>
    </row>
    <row r="947" ht="15.75" customHeight="1">
      <c r="A947" s="5"/>
      <c r="B947" s="5"/>
      <c r="C947" s="5"/>
      <c r="D947" s="5"/>
      <c r="E947" s="5"/>
    </row>
    <row r="948" ht="15.75" customHeight="1">
      <c r="A948" s="5"/>
      <c r="B948" s="5"/>
      <c r="C948" s="5"/>
      <c r="D948" s="5"/>
      <c r="E948" s="5"/>
    </row>
    <row r="949" ht="15.75" customHeight="1">
      <c r="A949" s="5"/>
      <c r="B949" s="5"/>
      <c r="C949" s="5"/>
      <c r="D949" s="5"/>
      <c r="E949" s="5"/>
    </row>
    <row r="950" ht="15.75" customHeight="1">
      <c r="A950" s="5"/>
      <c r="B950" s="5"/>
      <c r="C950" s="5"/>
      <c r="D950" s="5"/>
      <c r="E950" s="5"/>
    </row>
    <row r="951" ht="15.75" customHeight="1">
      <c r="A951" s="5"/>
      <c r="B951" s="5"/>
      <c r="C951" s="5"/>
      <c r="D951" s="5"/>
      <c r="E951" s="5"/>
    </row>
    <row r="952" ht="15.75" customHeight="1">
      <c r="A952" s="5"/>
      <c r="B952" s="5"/>
      <c r="C952" s="5"/>
      <c r="D952" s="5"/>
      <c r="E952" s="5"/>
    </row>
    <row r="953" ht="15.75" customHeight="1">
      <c r="A953" s="5"/>
      <c r="B953" s="5"/>
      <c r="C953" s="5"/>
      <c r="D953" s="5"/>
      <c r="E953" s="5"/>
    </row>
    <row r="954" ht="15.75" customHeight="1">
      <c r="A954" s="5"/>
      <c r="B954" s="5"/>
      <c r="C954" s="5"/>
      <c r="D954" s="5"/>
      <c r="E954" s="5"/>
    </row>
    <row r="955" ht="15.75" customHeight="1">
      <c r="A955" s="5"/>
      <c r="B955" s="5"/>
      <c r="C955" s="5"/>
      <c r="D955" s="5"/>
      <c r="E955" s="5"/>
    </row>
    <row r="956" ht="15.75" customHeight="1">
      <c r="A956" s="5"/>
      <c r="B956" s="5"/>
      <c r="C956" s="5"/>
      <c r="D956" s="5"/>
      <c r="E956" s="5"/>
    </row>
    <row r="957" ht="15.75" customHeight="1">
      <c r="A957" s="5"/>
      <c r="B957" s="5"/>
      <c r="C957" s="5"/>
      <c r="D957" s="5"/>
      <c r="E957" s="5"/>
    </row>
    <row r="958" ht="15.75" customHeight="1">
      <c r="A958" s="5"/>
      <c r="B958" s="5"/>
      <c r="C958" s="5"/>
      <c r="D958" s="5"/>
      <c r="E958" s="5"/>
    </row>
    <row r="959" ht="15.75" customHeight="1">
      <c r="A959" s="5"/>
      <c r="B959" s="5"/>
      <c r="C959" s="5"/>
      <c r="D959" s="5"/>
      <c r="E959" s="5"/>
    </row>
    <row r="960" ht="15.75" customHeight="1">
      <c r="A960" s="5"/>
      <c r="B960" s="5"/>
      <c r="C960" s="5"/>
      <c r="D960" s="5"/>
      <c r="E960" s="5"/>
    </row>
    <row r="961" ht="15.75" customHeight="1">
      <c r="A961" s="5"/>
      <c r="B961" s="5"/>
      <c r="C961" s="5"/>
      <c r="D961" s="5"/>
      <c r="E961" s="5"/>
    </row>
    <row r="962" ht="15.75" customHeight="1">
      <c r="A962" s="5"/>
      <c r="B962" s="5"/>
      <c r="C962" s="5"/>
      <c r="D962" s="5"/>
      <c r="E962" s="5"/>
    </row>
    <row r="963" ht="15.75" customHeight="1">
      <c r="A963" s="5"/>
      <c r="B963" s="5"/>
      <c r="C963" s="5"/>
      <c r="D963" s="5"/>
      <c r="E963" s="5"/>
    </row>
    <row r="964" ht="15.75" customHeight="1">
      <c r="A964" s="5"/>
      <c r="B964" s="5"/>
      <c r="C964" s="5"/>
      <c r="D964" s="5"/>
      <c r="E964" s="5"/>
    </row>
    <row r="965" ht="15.75" customHeight="1">
      <c r="A965" s="5"/>
      <c r="B965" s="5"/>
      <c r="C965" s="5"/>
      <c r="D965" s="5"/>
      <c r="E965" s="5"/>
    </row>
    <row r="966" ht="15.75" customHeight="1">
      <c r="A966" s="5"/>
      <c r="B966" s="5"/>
      <c r="C966" s="5"/>
      <c r="D966" s="5"/>
      <c r="E966" s="5"/>
    </row>
    <row r="967" ht="15.75" customHeight="1">
      <c r="A967" s="5"/>
      <c r="B967" s="5"/>
      <c r="C967" s="5"/>
      <c r="D967" s="5"/>
      <c r="E967" s="5"/>
    </row>
    <row r="968" ht="15.75" customHeight="1">
      <c r="A968" s="5"/>
      <c r="B968" s="5"/>
      <c r="C968" s="5"/>
      <c r="D968" s="5"/>
      <c r="E968" s="5"/>
    </row>
    <row r="969" ht="15.75" customHeight="1">
      <c r="A969" s="5"/>
      <c r="B969" s="5"/>
      <c r="C969" s="5"/>
      <c r="D969" s="5"/>
      <c r="E969" s="5"/>
    </row>
    <row r="970" ht="15.75" customHeight="1">
      <c r="A970" s="5"/>
      <c r="B970" s="5"/>
      <c r="C970" s="5"/>
      <c r="D970" s="5"/>
      <c r="E970" s="5"/>
    </row>
    <row r="971" ht="15.75" customHeight="1">
      <c r="A971" s="5"/>
      <c r="B971" s="5"/>
      <c r="C971" s="5"/>
      <c r="D971" s="5"/>
      <c r="E971" s="5"/>
    </row>
    <row r="972" ht="15.75" customHeight="1">
      <c r="A972" s="5"/>
      <c r="B972" s="5"/>
      <c r="C972" s="5"/>
      <c r="D972" s="5"/>
      <c r="E972" s="5"/>
    </row>
    <row r="973" ht="15.75" customHeight="1">
      <c r="A973" s="5"/>
      <c r="B973" s="5"/>
      <c r="C973" s="5"/>
      <c r="D973" s="5"/>
      <c r="E973" s="5"/>
    </row>
    <row r="974" ht="15.75" customHeight="1">
      <c r="A974" s="5"/>
      <c r="B974" s="5"/>
      <c r="C974" s="5"/>
      <c r="D974" s="5"/>
      <c r="E974" s="5"/>
    </row>
    <row r="975" ht="15.75" customHeight="1">
      <c r="A975" s="5"/>
      <c r="B975" s="5"/>
      <c r="C975" s="5"/>
      <c r="D975" s="5"/>
      <c r="E975" s="5"/>
    </row>
    <row r="976" ht="15.75" customHeight="1">
      <c r="A976" s="5"/>
      <c r="B976" s="5"/>
      <c r="C976" s="5"/>
      <c r="D976" s="5"/>
      <c r="E976" s="5"/>
    </row>
    <row r="977" ht="15.75" customHeight="1">
      <c r="A977" s="5"/>
      <c r="B977" s="5"/>
      <c r="C977" s="5"/>
      <c r="D977" s="5"/>
      <c r="E977" s="5"/>
    </row>
    <row r="978" ht="15.75" customHeight="1">
      <c r="A978" s="5"/>
      <c r="B978" s="5"/>
      <c r="C978" s="5"/>
      <c r="D978" s="5"/>
      <c r="E978" s="5"/>
    </row>
    <row r="979" ht="15.75" customHeight="1">
      <c r="A979" s="5"/>
      <c r="B979" s="5"/>
      <c r="C979" s="5"/>
      <c r="D979" s="5"/>
      <c r="E979" s="5"/>
    </row>
    <row r="980" ht="15.75" customHeight="1">
      <c r="A980" s="5"/>
      <c r="B980" s="5"/>
      <c r="C980" s="5"/>
      <c r="D980" s="5"/>
      <c r="E980" s="5"/>
    </row>
    <row r="981" ht="15.75" customHeight="1">
      <c r="A981" s="5"/>
      <c r="B981" s="5"/>
      <c r="C981" s="5"/>
      <c r="D981" s="5"/>
      <c r="E981" s="5"/>
    </row>
    <row r="982" ht="15.75" customHeight="1">
      <c r="A982" s="5"/>
      <c r="B982" s="5"/>
      <c r="C982" s="5"/>
      <c r="D982" s="5"/>
      <c r="E982" s="5"/>
    </row>
    <row r="983" ht="15.75" customHeight="1">
      <c r="A983" s="5"/>
      <c r="B983" s="5"/>
      <c r="C983" s="5"/>
      <c r="D983" s="5"/>
      <c r="E983" s="5"/>
    </row>
    <row r="984" ht="15.75" customHeight="1">
      <c r="A984" s="5"/>
      <c r="B984" s="5"/>
      <c r="C984" s="5"/>
      <c r="D984" s="5"/>
      <c r="E984" s="5"/>
    </row>
    <row r="985" ht="15.75" customHeight="1">
      <c r="A985" s="5"/>
      <c r="B985" s="5"/>
      <c r="C985" s="5"/>
      <c r="D985" s="5"/>
      <c r="E985" s="5"/>
    </row>
    <row r="986" ht="15.75" customHeight="1">
      <c r="A986" s="5"/>
      <c r="B986" s="5"/>
      <c r="C986" s="5"/>
      <c r="D986" s="5"/>
      <c r="E986" s="5"/>
    </row>
    <row r="987" ht="15.75" customHeight="1">
      <c r="A987" s="5"/>
      <c r="B987" s="5"/>
      <c r="C987" s="5"/>
      <c r="D987" s="5"/>
      <c r="E987" s="5"/>
    </row>
    <row r="988" ht="15.75" customHeight="1">
      <c r="A988" s="5"/>
      <c r="B988" s="5"/>
      <c r="C988" s="5"/>
      <c r="D988" s="5"/>
      <c r="E988" s="5"/>
    </row>
    <row r="989" ht="15.75" customHeight="1">
      <c r="A989" s="5"/>
      <c r="B989" s="5"/>
      <c r="C989" s="5"/>
      <c r="D989" s="5"/>
      <c r="E989" s="5"/>
    </row>
    <row r="990" ht="15.75" customHeight="1">
      <c r="A990" s="5"/>
      <c r="B990" s="5"/>
      <c r="C990" s="5"/>
      <c r="D990" s="5"/>
      <c r="E990" s="5"/>
    </row>
    <row r="991" ht="15.75" customHeight="1">
      <c r="A991" s="5"/>
      <c r="B991" s="5"/>
      <c r="C991" s="5"/>
      <c r="D991" s="5"/>
      <c r="E991" s="5"/>
    </row>
    <row r="992" ht="15.75" customHeight="1">
      <c r="A992" s="5"/>
      <c r="B992" s="5"/>
      <c r="C992" s="5"/>
      <c r="D992" s="5"/>
      <c r="E992" s="5"/>
    </row>
    <row r="993" ht="15.75" customHeight="1">
      <c r="A993" s="5"/>
      <c r="B993" s="5"/>
      <c r="C993" s="5"/>
      <c r="D993" s="5"/>
      <c r="E993" s="5"/>
    </row>
    <row r="994" ht="15.75" customHeight="1">
      <c r="A994" s="5"/>
      <c r="B994" s="5"/>
      <c r="C994" s="5"/>
      <c r="D994" s="5"/>
      <c r="E994" s="5"/>
    </row>
    <row r="995" ht="15.75" customHeight="1">
      <c r="A995" s="5"/>
      <c r="B995" s="5"/>
      <c r="C995" s="5"/>
      <c r="D995" s="5"/>
      <c r="E995" s="5"/>
    </row>
    <row r="996" ht="15.75" customHeight="1">
      <c r="A996" s="5"/>
      <c r="B996" s="5"/>
      <c r="C996" s="5"/>
      <c r="D996" s="5"/>
      <c r="E996" s="5"/>
    </row>
    <row r="997" ht="15.75" customHeight="1">
      <c r="A997" s="5"/>
      <c r="B997" s="5"/>
      <c r="C997" s="5"/>
      <c r="D997" s="5"/>
      <c r="E997" s="5"/>
    </row>
    <row r="998" ht="15.75" customHeight="1">
      <c r="A998" s="5"/>
      <c r="B998" s="5"/>
      <c r="C998" s="5"/>
      <c r="D998" s="5"/>
      <c r="E998" s="5"/>
    </row>
    <row r="999" ht="15.75" customHeight="1">
      <c r="A999" s="5"/>
      <c r="B999" s="5"/>
      <c r="C999" s="5"/>
      <c r="D999" s="5"/>
      <c r="E999" s="5"/>
    </row>
    <row r="1000" ht="15.75" customHeight="1">
      <c r="A1000" s="5"/>
      <c r="B1000" s="5"/>
      <c r="C1000" s="5"/>
      <c r="D1000" s="5"/>
      <c r="E1000" s="5"/>
    </row>
  </sheetData>
  <printOptions/>
  <pageMargins bottom="1.0" footer="0.0" header="0.0" left="0.75" right="0.75" top="1.0"/>
  <pageSetup orientation="landscape"/>
  <drawing r:id="rId1"/>
</worksheet>
</file>